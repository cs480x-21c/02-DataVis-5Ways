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lancuriel/dev/02-DataVis-5Ways/excel/"/>
    </mc:Choice>
  </mc:AlternateContent>
  <xr:revisionPtr revIDLastSave="0" documentId="13_ncr:1_{A35A14D8-DCF6-704C-B68A-90378DE39A51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cars-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2" i="1"/>
</calcChain>
</file>

<file path=xl/sharedStrings.xml><?xml version="1.0" encoding="utf-8"?>
<sst xmlns="http://schemas.openxmlformats.org/spreadsheetml/2006/main" count="303" uniqueCount="88">
  <si>
    <t>Car</t>
  </si>
  <si>
    <t>Manufacturer</t>
  </si>
  <si>
    <t>MPG</t>
  </si>
  <si>
    <t>Cylinders</t>
  </si>
  <si>
    <t>Displacement</t>
  </si>
  <si>
    <t>Horsepower</t>
  </si>
  <si>
    <t>Weight</t>
  </si>
  <si>
    <t>Acceleration</t>
  </si>
  <si>
    <t>Model.Year</t>
  </si>
  <si>
    <t>Origin</t>
  </si>
  <si>
    <t>torino</t>
  </si>
  <si>
    <t>ford</t>
  </si>
  <si>
    <t>American</t>
  </si>
  <si>
    <t>galaxie 500</t>
  </si>
  <si>
    <t>torino (sw)</t>
  </si>
  <si>
    <t>NA</t>
  </si>
  <si>
    <t>mustang boss 302</t>
  </si>
  <si>
    <t>corona mark ii</t>
  </si>
  <si>
    <t>toyota</t>
  </si>
  <si>
    <t>Japanese</t>
  </si>
  <si>
    <t>maverick</t>
  </si>
  <si>
    <t>bmw</t>
  </si>
  <si>
    <t>European</t>
  </si>
  <si>
    <t>f250</t>
  </si>
  <si>
    <t>corona</t>
  </si>
  <si>
    <t>pinto</t>
  </si>
  <si>
    <t>torino 500</t>
  </si>
  <si>
    <t>country squire (sw)</t>
  </si>
  <si>
    <t>mustang</t>
  </si>
  <si>
    <t>corolla 1200</t>
  </si>
  <si>
    <t>corona hardtop</t>
  </si>
  <si>
    <t>pinto runabout</t>
  </si>
  <si>
    <t>gran torino (sw)</t>
  </si>
  <si>
    <t>pinto (sw)</t>
  </si>
  <si>
    <t>corona mark ii (sw)</t>
  </si>
  <si>
    <t>corolla 1600 (sw)</t>
  </si>
  <si>
    <t>gran torino</t>
  </si>
  <si>
    <t>ltd</t>
  </si>
  <si>
    <t>country</t>
  </si>
  <si>
    <t>carina</t>
  </si>
  <si>
    <t>mark ii</t>
  </si>
  <si>
    <t>civic</t>
  </si>
  <si>
    <t>honda</t>
  </si>
  <si>
    <t>mustang ii</t>
  </si>
  <si>
    <t>corolla</t>
  </si>
  <si>
    <t>civic cvcc</t>
  </si>
  <si>
    <t>granada ghia</t>
  </si>
  <si>
    <t>280s</t>
  </si>
  <si>
    <t>mercedes</t>
  </si>
  <si>
    <t>f108</t>
  </si>
  <si>
    <t>accord cvcc</t>
  </si>
  <si>
    <t>granada</t>
  </si>
  <si>
    <t>thunderbird</t>
  </si>
  <si>
    <t>corolla liftback</t>
  </si>
  <si>
    <t>mustang ii 2+2</t>
  </si>
  <si>
    <t>320i</t>
  </si>
  <si>
    <t>fiesta</t>
  </si>
  <si>
    <t>fairmont (auto)</t>
  </si>
  <si>
    <t>fairmont (man)</t>
  </si>
  <si>
    <t>futura</t>
  </si>
  <si>
    <t>celica gt liftback</t>
  </si>
  <si>
    <t>accord lx</t>
  </si>
  <si>
    <t>fairmont 4</t>
  </si>
  <si>
    <t>ltd landau</t>
  </si>
  <si>
    <t>300d</t>
  </si>
  <si>
    <t>corolla tercel</t>
  </si>
  <si>
    <t>fairmont</t>
  </si>
  <si>
    <t>corona liftback</t>
  </si>
  <si>
    <t>240d</t>
  </si>
  <si>
    <t>civic 1500 gl</t>
  </si>
  <si>
    <t>mustang cobra</t>
  </si>
  <si>
    <t>accord</t>
  </si>
  <si>
    <t>starlet</t>
  </si>
  <si>
    <t>civic 1300</t>
  </si>
  <si>
    <t>tercel</t>
  </si>
  <si>
    <t>escort 4w</t>
  </si>
  <si>
    <t>escort 2h</t>
  </si>
  <si>
    <t>prelude</t>
  </si>
  <si>
    <t>cressida</t>
  </si>
  <si>
    <t>granada gl</t>
  </si>
  <si>
    <t>fairmont futura</t>
  </si>
  <si>
    <t>civic (auto)</t>
  </si>
  <si>
    <t>granada l</t>
  </si>
  <si>
    <t>celica gt</t>
  </si>
  <si>
    <t>mustang gl</t>
  </si>
  <si>
    <t>ranger</t>
  </si>
  <si>
    <t xml:space="preserve"> </t>
  </si>
  <si>
    <t>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</si>
</sst>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'cars-sample'!$P$2</c:f>
              <c:strCache>
                <c:ptCount val="1"/>
                <c:pt idx="0">
                  <c:v>bmw</c:v>
                </c:pt>
              </c:strCache>
            </c:strRef>
          </c:tx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xVal>
            <c:numRef>
              <c:f>'cars-sample'!$Q$2:$Q$3</c:f>
              <c:numCache>
                <c:formatCode>General</c:formatCode>
                <c:ptCount val="2"/>
                <c:pt idx="0">
                  <c:v>2234</c:v>
                </c:pt>
                <c:pt idx="1">
                  <c:v>2600</c:v>
                </c:pt>
              </c:numCache>
            </c:numRef>
          </c:xVal>
          <c:yVal>
            <c:numRef>
              <c:f>'cars-sample'!$R$2:$R$3</c:f>
              <c:numCache>
                <c:formatCode>General</c:formatCode>
                <c:ptCount val="2"/>
                <c:pt idx="0">
                  <c:v>26</c:v>
                </c:pt>
                <c:pt idx="1">
                  <c:v>21.5</c:v>
                </c:pt>
              </c:numCache>
            </c:numRef>
          </c:yVal>
          <c:bubbleSize>
            <c:numRef>
              <c:f>'cars-sample'!$S$2:$S$3</c:f>
              <c:numCache>
                <c:formatCode>General</c:formatCode>
                <c:ptCount val="2"/>
                <c:pt idx="0">
                  <c:v>2234</c:v>
                </c:pt>
                <c:pt idx="1">
                  <c:v>2600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7C0-6A4E-A6CD-734804091BB6}"/>
            </c:ext>
          </c:extLst>
        </c:ser>
        <c:ser>
          <c:idx val="1"/>
          <c:order val="1"/>
          <c:tx>
            <c:strRef>
              <c:f>'cars-sample'!$P$4</c:f>
              <c:strCache>
                <c:ptCount val="1"/>
                <c:pt idx="0">
                  <c:v>ford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xVal>
            <c:numRef>
              <c:f>'cars-sample'!$Q$4:$Q$54</c:f>
              <c:numCache>
                <c:formatCode>General</c:formatCode>
                <c:ptCount val="51"/>
                <c:pt idx="0">
                  <c:v>3449</c:v>
                </c:pt>
                <c:pt idx="1">
                  <c:v>4341</c:v>
                </c:pt>
                <c:pt idx="2">
                  <c:v>2587</c:v>
                </c:pt>
                <c:pt idx="3">
                  <c:v>4615</c:v>
                </c:pt>
                <c:pt idx="4">
                  <c:v>2046</c:v>
                </c:pt>
                <c:pt idx="5">
                  <c:v>3302</c:v>
                </c:pt>
                <c:pt idx="6">
                  <c:v>4154</c:v>
                </c:pt>
                <c:pt idx="7">
                  <c:v>4746</c:v>
                </c:pt>
                <c:pt idx="8">
                  <c:v>3139</c:v>
                </c:pt>
                <c:pt idx="9">
                  <c:v>2226</c:v>
                </c:pt>
                <c:pt idx="10">
                  <c:v>4129</c:v>
                </c:pt>
                <c:pt idx="11">
                  <c:v>4294</c:v>
                </c:pt>
                <c:pt idx="12">
                  <c:v>2395</c:v>
                </c:pt>
                <c:pt idx="13">
                  <c:v>4042</c:v>
                </c:pt>
                <c:pt idx="14">
                  <c:v>4363</c:v>
                </c:pt>
                <c:pt idx="15">
                  <c:v>3021</c:v>
                </c:pt>
                <c:pt idx="16">
                  <c:v>4906</c:v>
                </c:pt>
                <c:pt idx="17">
                  <c:v>2310</c:v>
                </c:pt>
                <c:pt idx="18">
                  <c:v>2875</c:v>
                </c:pt>
                <c:pt idx="19">
                  <c:v>2451</c:v>
                </c:pt>
                <c:pt idx="20">
                  <c:v>4141</c:v>
                </c:pt>
                <c:pt idx="21">
                  <c:v>4638</c:v>
                </c:pt>
                <c:pt idx="22">
                  <c:v>3158</c:v>
                </c:pt>
                <c:pt idx="23">
                  <c:v>4657</c:v>
                </c:pt>
                <c:pt idx="24">
                  <c:v>3169</c:v>
                </c:pt>
                <c:pt idx="25">
                  <c:v>2639</c:v>
                </c:pt>
                <c:pt idx="26">
                  <c:v>2984</c:v>
                </c:pt>
                <c:pt idx="27">
                  <c:v>4215</c:v>
                </c:pt>
                <c:pt idx="28">
                  <c:v>3012</c:v>
                </c:pt>
                <c:pt idx="29">
                  <c:v>3574</c:v>
                </c:pt>
                <c:pt idx="30">
                  <c:v>2565</c:v>
                </c:pt>
                <c:pt idx="31">
                  <c:v>3870</c:v>
                </c:pt>
                <c:pt idx="32">
                  <c:v>3525</c:v>
                </c:pt>
                <c:pt idx="33">
                  <c:v>4335</c:v>
                </c:pt>
                <c:pt idx="34">
                  <c:v>2755</c:v>
                </c:pt>
                <c:pt idx="35">
                  <c:v>1800</c:v>
                </c:pt>
                <c:pt idx="36">
                  <c:v>2965</c:v>
                </c:pt>
                <c:pt idx="37">
                  <c:v>2720</c:v>
                </c:pt>
                <c:pt idx="38">
                  <c:v>3205</c:v>
                </c:pt>
                <c:pt idx="39">
                  <c:v>2890</c:v>
                </c:pt>
                <c:pt idx="40">
                  <c:v>3725</c:v>
                </c:pt>
                <c:pt idx="41">
                  <c:v>4054</c:v>
                </c:pt>
                <c:pt idx="42">
                  <c:v>2870</c:v>
                </c:pt>
                <c:pt idx="43">
                  <c:v>2905</c:v>
                </c:pt>
                <c:pt idx="44">
                  <c:v>2045</c:v>
                </c:pt>
                <c:pt idx="45">
                  <c:v>2380</c:v>
                </c:pt>
                <c:pt idx="46">
                  <c:v>3060</c:v>
                </c:pt>
                <c:pt idx="47">
                  <c:v>2865</c:v>
                </c:pt>
                <c:pt idx="48">
                  <c:v>2835</c:v>
                </c:pt>
                <c:pt idx="49">
                  <c:v>2790</c:v>
                </c:pt>
                <c:pt idx="50">
                  <c:v>2625</c:v>
                </c:pt>
              </c:numCache>
            </c:numRef>
          </c:xVal>
          <c:yVal>
            <c:numRef>
              <c:f>'cars-sample'!$R$4:$R$54</c:f>
              <c:numCache>
                <c:formatCode>General</c:formatCode>
                <c:ptCount val="51"/>
                <c:pt idx="0">
                  <c:v>17</c:v>
                </c:pt>
                <c:pt idx="1">
                  <c:v>15</c:v>
                </c:pt>
                <c:pt idx="2">
                  <c:v>21</c:v>
                </c:pt>
                <c:pt idx="3">
                  <c:v>10</c:v>
                </c:pt>
                <c:pt idx="4">
                  <c:v>25</c:v>
                </c:pt>
                <c:pt idx="5">
                  <c:v>19</c:v>
                </c:pt>
                <c:pt idx="6">
                  <c:v>14</c:v>
                </c:pt>
                <c:pt idx="7">
                  <c:v>13</c:v>
                </c:pt>
                <c:pt idx="8">
                  <c:v>18</c:v>
                </c:pt>
                <c:pt idx="9">
                  <c:v>21</c:v>
                </c:pt>
                <c:pt idx="10">
                  <c:v>14</c:v>
                </c:pt>
                <c:pt idx="11">
                  <c:v>13</c:v>
                </c:pt>
                <c:pt idx="12">
                  <c:v>22</c:v>
                </c:pt>
                <c:pt idx="13">
                  <c:v>14</c:v>
                </c:pt>
                <c:pt idx="14">
                  <c:v>13</c:v>
                </c:pt>
                <c:pt idx="15">
                  <c:v>18</c:v>
                </c:pt>
                <c:pt idx="16">
                  <c:v>12</c:v>
                </c:pt>
                <c:pt idx="17">
                  <c:v>19</c:v>
                </c:pt>
                <c:pt idx="18">
                  <c:v>21</c:v>
                </c:pt>
                <c:pt idx="19">
                  <c:v>26</c:v>
                </c:pt>
                <c:pt idx="20">
                  <c:v>16</c:v>
                </c:pt>
                <c:pt idx="21">
                  <c:v>14</c:v>
                </c:pt>
                <c:pt idx="22">
                  <c:v>15</c:v>
                </c:pt>
                <c:pt idx="23">
                  <c:v>14</c:v>
                </c:pt>
                <c:pt idx="24">
                  <c:v>13</c:v>
                </c:pt>
                <c:pt idx="25">
                  <c:v>23</c:v>
                </c:pt>
                <c:pt idx="26">
                  <c:v>18</c:v>
                </c:pt>
                <c:pt idx="27">
                  <c:v>14.5</c:v>
                </c:pt>
                <c:pt idx="28">
                  <c:v>24</c:v>
                </c:pt>
                <c:pt idx="29">
                  <c:v>18</c:v>
                </c:pt>
                <c:pt idx="30">
                  <c:v>26.5</c:v>
                </c:pt>
                <c:pt idx="31">
                  <c:v>13</c:v>
                </c:pt>
                <c:pt idx="32">
                  <c:v>18.5</c:v>
                </c:pt>
                <c:pt idx="33">
                  <c:v>16</c:v>
                </c:pt>
                <c:pt idx="34">
                  <c:v>25.5</c:v>
                </c:pt>
                <c:pt idx="35">
                  <c:v>36.1</c:v>
                </c:pt>
                <c:pt idx="36">
                  <c:v>20.2</c:v>
                </c:pt>
                <c:pt idx="37">
                  <c:v>25.1</c:v>
                </c:pt>
                <c:pt idx="38">
                  <c:v>18.100000000000001</c:v>
                </c:pt>
                <c:pt idx="39">
                  <c:v>22.3</c:v>
                </c:pt>
                <c:pt idx="40">
                  <c:v>17.600000000000001</c:v>
                </c:pt>
                <c:pt idx="41">
                  <c:v>15.5</c:v>
                </c:pt>
                <c:pt idx="42">
                  <c:v>26.4</c:v>
                </c:pt>
                <c:pt idx="43">
                  <c:v>23.6</c:v>
                </c:pt>
                <c:pt idx="44">
                  <c:v>34.4</c:v>
                </c:pt>
                <c:pt idx="45">
                  <c:v>29.9</c:v>
                </c:pt>
                <c:pt idx="46">
                  <c:v>20.2</c:v>
                </c:pt>
                <c:pt idx="47">
                  <c:v>24</c:v>
                </c:pt>
                <c:pt idx="48">
                  <c:v>22</c:v>
                </c:pt>
                <c:pt idx="49">
                  <c:v>27</c:v>
                </c:pt>
                <c:pt idx="50">
                  <c:v>28</c:v>
                </c:pt>
              </c:numCache>
            </c:numRef>
          </c:yVal>
          <c:bubbleSize>
            <c:numRef>
              <c:f>'cars-sample'!$S$4:$S$54</c:f>
              <c:numCache>
                <c:formatCode>General</c:formatCode>
                <c:ptCount val="51"/>
                <c:pt idx="0">
                  <c:v>3449</c:v>
                </c:pt>
                <c:pt idx="1">
                  <c:v>4341</c:v>
                </c:pt>
                <c:pt idx="2">
                  <c:v>2587</c:v>
                </c:pt>
                <c:pt idx="3">
                  <c:v>4615</c:v>
                </c:pt>
                <c:pt idx="4">
                  <c:v>2046</c:v>
                </c:pt>
                <c:pt idx="5">
                  <c:v>3302</c:v>
                </c:pt>
                <c:pt idx="6">
                  <c:v>4154</c:v>
                </c:pt>
                <c:pt idx="7">
                  <c:v>4746</c:v>
                </c:pt>
                <c:pt idx="8">
                  <c:v>3139</c:v>
                </c:pt>
                <c:pt idx="9">
                  <c:v>2226</c:v>
                </c:pt>
                <c:pt idx="10">
                  <c:v>4129</c:v>
                </c:pt>
                <c:pt idx="11">
                  <c:v>4294</c:v>
                </c:pt>
                <c:pt idx="12">
                  <c:v>2395</c:v>
                </c:pt>
                <c:pt idx="13">
                  <c:v>4042</c:v>
                </c:pt>
                <c:pt idx="14">
                  <c:v>4363</c:v>
                </c:pt>
                <c:pt idx="15">
                  <c:v>3021</c:v>
                </c:pt>
                <c:pt idx="16">
                  <c:v>4906</c:v>
                </c:pt>
                <c:pt idx="17">
                  <c:v>2310</c:v>
                </c:pt>
                <c:pt idx="18">
                  <c:v>2875</c:v>
                </c:pt>
                <c:pt idx="19">
                  <c:v>2451</c:v>
                </c:pt>
                <c:pt idx="20">
                  <c:v>4141</c:v>
                </c:pt>
                <c:pt idx="21">
                  <c:v>4638</c:v>
                </c:pt>
                <c:pt idx="22">
                  <c:v>3158</c:v>
                </c:pt>
                <c:pt idx="23">
                  <c:v>4657</c:v>
                </c:pt>
                <c:pt idx="24">
                  <c:v>3169</c:v>
                </c:pt>
                <c:pt idx="25">
                  <c:v>2639</c:v>
                </c:pt>
                <c:pt idx="26">
                  <c:v>2984</c:v>
                </c:pt>
                <c:pt idx="27">
                  <c:v>4215</c:v>
                </c:pt>
                <c:pt idx="28">
                  <c:v>3012</c:v>
                </c:pt>
                <c:pt idx="29">
                  <c:v>3574</c:v>
                </c:pt>
                <c:pt idx="30">
                  <c:v>2565</c:v>
                </c:pt>
                <c:pt idx="31">
                  <c:v>3870</c:v>
                </c:pt>
                <c:pt idx="32">
                  <c:v>3525</c:v>
                </c:pt>
                <c:pt idx="33">
                  <c:v>4335</c:v>
                </c:pt>
                <c:pt idx="34">
                  <c:v>2755</c:v>
                </c:pt>
                <c:pt idx="35">
                  <c:v>1800</c:v>
                </c:pt>
                <c:pt idx="36">
                  <c:v>2965</c:v>
                </c:pt>
                <c:pt idx="37">
                  <c:v>2720</c:v>
                </c:pt>
                <c:pt idx="38">
                  <c:v>3205</c:v>
                </c:pt>
                <c:pt idx="39">
                  <c:v>2890</c:v>
                </c:pt>
                <c:pt idx="40">
                  <c:v>3725</c:v>
                </c:pt>
                <c:pt idx="41">
                  <c:v>4054</c:v>
                </c:pt>
                <c:pt idx="42">
                  <c:v>2870</c:v>
                </c:pt>
                <c:pt idx="43">
                  <c:v>2905</c:v>
                </c:pt>
                <c:pt idx="44">
                  <c:v>2045</c:v>
                </c:pt>
                <c:pt idx="45">
                  <c:v>2380</c:v>
                </c:pt>
                <c:pt idx="46">
                  <c:v>3060</c:v>
                </c:pt>
                <c:pt idx="47">
                  <c:v>2865</c:v>
                </c:pt>
                <c:pt idx="48">
                  <c:v>2835</c:v>
                </c:pt>
                <c:pt idx="49">
                  <c:v>2790</c:v>
                </c:pt>
                <c:pt idx="50">
                  <c:v>2625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57C0-6A4E-A6CD-734804091BB6}"/>
            </c:ext>
          </c:extLst>
        </c:ser>
        <c:ser>
          <c:idx val="2"/>
          <c:order val="2"/>
          <c:tx>
            <c:strRef>
              <c:f>'cars-sample'!$P$55</c:f>
              <c:strCache>
                <c:ptCount val="1"/>
                <c:pt idx="0">
                  <c:v>honda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>
              <a:softEdge rad="0"/>
            </a:effectLst>
          </c:spPr>
          <c:invertIfNegative val="0"/>
          <c:xVal>
            <c:numRef>
              <c:f>'cars-sample'!$Q$55:$Q$67</c:f>
              <c:numCache>
                <c:formatCode>General</c:formatCode>
                <c:ptCount val="13"/>
                <c:pt idx="0">
                  <c:v>2489</c:v>
                </c:pt>
                <c:pt idx="1">
                  <c:v>1795</c:v>
                </c:pt>
                <c:pt idx="2">
                  <c:v>1795</c:v>
                </c:pt>
                <c:pt idx="3">
                  <c:v>2045</c:v>
                </c:pt>
                <c:pt idx="4">
                  <c:v>1800</c:v>
                </c:pt>
                <c:pt idx="5">
                  <c:v>2135</c:v>
                </c:pt>
                <c:pt idx="6">
                  <c:v>1850</c:v>
                </c:pt>
                <c:pt idx="7">
                  <c:v>2290</c:v>
                </c:pt>
                <c:pt idx="8">
                  <c:v>1760</c:v>
                </c:pt>
                <c:pt idx="9">
                  <c:v>2210</c:v>
                </c:pt>
                <c:pt idx="10">
                  <c:v>2205</c:v>
                </c:pt>
                <c:pt idx="11">
                  <c:v>1965</c:v>
                </c:pt>
                <c:pt idx="12">
                  <c:v>1965</c:v>
                </c:pt>
              </c:numCache>
            </c:numRef>
          </c:xVal>
          <c:yVal>
            <c:numRef>
              <c:f>'cars-sample'!$R$55:$R$67</c:f>
              <c:numCache>
                <c:formatCode>General</c:formatCode>
                <c:ptCount val="13"/>
                <c:pt idx="0">
                  <c:v>24</c:v>
                </c:pt>
                <c:pt idx="1">
                  <c:v>33</c:v>
                </c:pt>
                <c:pt idx="2">
                  <c:v>33</c:v>
                </c:pt>
                <c:pt idx="3">
                  <c:v>31.5</c:v>
                </c:pt>
                <c:pt idx="4">
                  <c:v>36.1</c:v>
                </c:pt>
                <c:pt idx="5">
                  <c:v>29.5</c:v>
                </c:pt>
                <c:pt idx="6">
                  <c:v>44.6</c:v>
                </c:pt>
                <c:pt idx="7">
                  <c:v>32.4</c:v>
                </c:pt>
                <c:pt idx="8">
                  <c:v>35.1</c:v>
                </c:pt>
                <c:pt idx="9">
                  <c:v>33.700000000000003</c:v>
                </c:pt>
                <c:pt idx="10">
                  <c:v>36</c:v>
                </c:pt>
                <c:pt idx="11">
                  <c:v>38</c:v>
                </c:pt>
                <c:pt idx="12">
                  <c:v>32</c:v>
                </c:pt>
              </c:numCache>
            </c:numRef>
          </c:yVal>
          <c:bubbleSize>
            <c:numRef>
              <c:f>'cars-sample'!$S$55:$S$67</c:f>
              <c:numCache>
                <c:formatCode>General</c:formatCode>
                <c:ptCount val="13"/>
                <c:pt idx="0">
                  <c:v>2489</c:v>
                </c:pt>
                <c:pt idx="1">
                  <c:v>1795</c:v>
                </c:pt>
                <c:pt idx="2">
                  <c:v>1795</c:v>
                </c:pt>
                <c:pt idx="3">
                  <c:v>2045</c:v>
                </c:pt>
                <c:pt idx="4">
                  <c:v>1800</c:v>
                </c:pt>
                <c:pt idx="5">
                  <c:v>2135</c:v>
                </c:pt>
                <c:pt idx="6">
                  <c:v>1850</c:v>
                </c:pt>
                <c:pt idx="7">
                  <c:v>2290</c:v>
                </c:pt>
                <c:pt idx="8">
                  <c:v>1760</c:v>
                </c:pt>
                <c:pt idx="9">
                  <c:v>2210</c:v>
                </c:pt>
                <c:pt idx="10">
                  <c:v>2205</c:v>
                </c:pt>
                <c:pt idx="11">
                  <c:v>1965</c:v>
                </c:pt>
                <c:pt idx="12">
                  <c:v>1965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57C0-6A4E-A6CD-734804091BB6}"/>
            </c:ext>
          </c:extLst>
        </c:ser>
        <c:ser>
          <c:idx val="3"/>
          <c:order val="3"/>
          <c:tx>
            <c:strRef>
              <c:f>'cars-sample'!$P$68</c:f>
              <c:strCache>
                <c:ptCount val="1"/>
                <c:pt idx="0">
                  <c:v>mercedes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xVal>
            <c:numRef>
              <c:f>'cars-sample'!$Q$68:$Q$70</c:f>
              <c:numCache>
                <c:formatCode>General</c:formatCode>
                <c:ptCount val="3"/>
                <c:pt idx="0">
                  <c:v>3820</c:v>
                </c:pt>
                <c:pt idx="1">
                  <c:v>3530</c:v>
                </c:pt>
                <c:pt idx="2">
                  <c:v>3250</c:v>
                </c:pt>
              </c:numCache>
            </c:numRef>
          </c:xVal>
          <c:yVal>
            <c:numRef>
              <c:f>'cars-sample'!$R$68:$R$70</c:f>
              <c:numCache>
                <c:formatCode>General</c:formatCode>
                <c:ptCount val="3"/>
                <c:pt idx="0">
                  <c:v>16.5</c:v>
                </c:pt>
                <c:pt idx="1">
                  <c:v>25.4</c:v>
                </c:pt>
                <c:pt idx="2">
                  <c:v>30</c:v>
                </c:pt>
              </c:numCache>
            </c:numRef>
          </c:yVal>
          <c:bubbleSize>
            <c:numRef>
              <c:f>'cars-sample'!$S$68:$S$70</c:f>
              <c:numCache>
                <c:formatCode>General</c:formatCode>
                <c:ptCount val="3"/>
                <c:pt idx="0">
                  <c:v>3820</c:v>
                </c:pt>
                <c:pt idx="1">
                  <c:v>3530</c:v>
                </c:pt>
                <c:pt idx="2">
                  <c:v>3250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57C0-6A4E-A6CD-734804091BB6}"/>
            </c:ext>
          </c:extLst>
        </c:ser>
        <c:ser>
          <c:idx val="4"/>
          <c:order val="4"/>
          <c:tx>
            <c:strRef>
              <c:f>'cars-sample'!$P$71</c:f>
              <c:strCache>
                <c:ptCount val="1"/>
                <c:pt idx="0">
                  <c:v>toyota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invertIfNegative val="0"/>
          <c:xVal>
            <c:numRef>
              <c:f>'cars-sample'!$Q$71:$Q$96</c:f>
              <c:numCache>
                <c:formatCode>General</c:formatCode>
                <c:ptCount val="26"/>
                <c:pt idx="0">
                  <c:v>2372</c:v>
                </c:pt>
                <c:pt idx="1">
                  <c:v>2228</c:v>
                </c:pt>
                <c:pt idx="2">
                  <c:v>1773</c:v>
                </c:pt>
                <c:pt idx="3">
                  <c:v>2278</c:v>
                </c:pt>
                <c:pt idx="4">
                  <c:v>2506</c:v>
                </c:pt>
                <c:pt idx="5">
                  <c:v>2100</c:v>
                </c:pt>
                <c:pt idx="6">
                  <c:v>2279</c:v>
                </c:pt>
                <c:pt idx="7">
                  <c:v>2807</c:v>
                </c:pt>
                <c:pt idx="8">
                  <c:v>1836</c:v>
                </c:pt>
                <c:pt idx="9">
                  <c:v>1649</c:v>
                </c:pt>
                <c:pt idx="10">
                  <c:v>2171</c:v>
                </c:pt>
                <c:pt idx="11">
                  <c:v>2702</c:v>
                </c:pt>
                <c:pt idx="12">
                  <c:v>2155</c:v>
                </c:pt>
                <c:pt idx="13">
                  <c:v>2930</c:v>
                </c:pt>
                <c:pt idx="14">
                  <c:v>2265</c:v>
                </c:pt>
                <c:pt idx="15">
                  <c:v>2560</c:v>
                </c:pt>
                <c:pt idx="16">
                  <c:v>2515</c:v>
                </c:pt>
                <c:pt idx="17">
                  <c:v>1968</c:v>
                </c:pt>
                <c:pt idx="18">
                  <c:v>2711</c:v>
                </c:pt>
                <c:pt idx="19">
                  <c:v>2265</c:v>
                </c:pt>
                <c:pt idx="20">
                  <c:v>1755</c:v>
                </c:pt>
                <c:pt idx="21">
                  <c:v>2050</c:v>
                </c:pt>
                <c:pt idx="22">
                  <c:v>2350</c:v>
                </c:pt>
                <c:pt idx="23">
                  <c:v>2900</c:v>
                </c:pt>
                <c:pt idx="24">
                  <c:v>2245</c:v>
                </c:pt>
                <c:pt idx="25">
                  <c:v>2665</c:v>
                </c:pt>
              </c:numCache>
            </c:numRef>
          </c:xVal>
          <c:yVal>
            <c:numRef>
              <c:f>'cars-sample'!$R$71:$R$96</c:f>
              <c:numCache>
                <c:formatCode>General</c:formatCode>
                <c:ptCount val="26"/>
                <c:pt idx="0">
                  <c:v>24</c:v>
                </c:pt>
                <c:pt idx="1">
                  <c:v>25</c:v>
                </c:pt>
                <c:pt idx="2">
                  <c:v>31</c:v>
                </c:pt>
                <c:pt idx="3">
                  <c:v>24</c:v>
                </c:pt>
                <c:pt idx="4">
                  <c:v>23</c:v>
                </c:pt>
                <c:pt idx="5">
                  <c:v>27</c:v>
                </c:pt>
                <c:pt idx="6">
                  <c:v>20</c:v>
                </c:pt>
                <c:pt idx="7">
                  <c:v>20</c:v>
                </c:pt>
                <c:pt idx="8">
                  <c:v>32</c:v>
                </c:pt>
                <c:pt idx="9">
                  <c:v>31</c:v>
                </c:pt>
                <c:pt idx="10">
                  <c:v>29</c:v>
                </c:pt>
                <c:pt idx="11">
                  <c:v>24</c:v>
                </c:pt>
                <c:pt idx="12">
                  <c:v>28</c:v>
                </c:pt>
                <c:pt idx="13">
                  <c:v>19</c:v>
                </c:pt>
                <c:pt idx="14">
                  <c:v>26</c:v>
                </c:pt>
                <c:pt idx="15">
                  <c:v>27.5</c:v>
                </c:pt>
                <c:pt idx="16">
                  <c:v>21.1</c:v>
                </c:pt>
                <c:pt idx="17">
                  <c:v>38.1</c:v>
                </c:pt>
                <c:pt idx="18">
                  <c:v>29.8</c:v>
                </c:pt>
                <c:pt idx="19">
                  <c:v>32.200000000000003</c:v>
                </c:pt>
                <c:pt idx="20">
                  <c:v>39.1</c:v>
                </c:pt>
                <c:pt idx="21">
                  <c:v>37.700000000000003</c:v>
                </c:pt>
                <c:pt idx="22">
                  <c:v>32.4</c:v>
                </c:pt>
                <c:pt idx="23">
                  <c:v>25.4</c:v>
                </c:pt>
                <c:pt idx="24">
                  <c:v>34</c:v>
                </c:pt>
                <c:pt idx="25">
                  <c:v>32</c:v>
                </c:pt>
              </c:numCache>
            </c:numRef>
          </c:yVal>
          <c:bubbleSize>
            <c:numRef>
              <c:f>'cars-sample'!$S$71:$S$96</c:f>
              <c:numCache>
                <c:formatCode>General</c:formatCode>
                <c:ptCount val="26"/>
                <c:pt idx="0">
                  <c:v>2372</c:v>
                </c:pt>
                <c:pt idx="1">
                  <c:v>2228</c:v>
                </c:pt>
                <c:pt idx="2">
                  <c:v>1773</c:v>
                </c:pt>
                <c:pt idx="3">
                  <c:v>2278</c:v>
                </c:pt>
                <c:pt idx="4">
                  <c:v>2506</c:v>
                </c:pt>
                <c:pt idx="5">
                  <c:v>2100</c:v>
                </c:pt>
                <c:pt idx="6">
                  <c:v>2279</c:v>
                </c:pt>
                <c:pt idx="7">
                  <c:v>2807</c:v>
                </c:pt>
                <c:pt idx="8">
                  <c:v>1836</c:v>
                </c:pt>
                <c:pt idx="9">
                  <c:v>1649</c:v>
                </c:pt>
                <c:pt idx="10">
                  <c:v>2171</c:v>
                </c:pt>
                <c:pt idx="11">
                  <c:v>2702</c:v>
                </c:pt>
                <c:pt idx="12">
                  <c:v>2155</c:v>
                </c:pt>
                <c:pt idx="13">
                  <c:v>2930</c:v>
                </c:pt>
                <c:pt idx="14">
                  <c:v>2265</c:v>
                </c:pt>
                <c:pt idx="15">
                  <c:v>2560</c:v>
                </c:pt>
                <c:pt idx="16">
                  <c:v>2515</c:v>
                </c:pt>
                <c:pt idx="17">
                  <c:v>1968</c:v>
                </c:pt>
                <c:pt idx="18">
                  <c:v>2711</c:v>
                </c:pt>
                <c:pt idx="19">
                  <c:v>2265</c:v>
                </c:pt>
                <c:pt idx="20">
                  <c:v>1755</c:v>
                </c:pt>
                <c:pt idx="21">
                  <c:v>2050</c:v>
                </c:pt>
                <c:pt idx="22">
                  <c:v>2350</c:v>
                </c:pt>
                <c:pt idx="23">
                  <c:v>2900</c:v>
                </c:pt>
                <c:pt idx="24">
                  <c:v>2245</c:v>
                </c:pt>
                <c:pt idx="25">
                  <c:v>2665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57C0-6A4E-A6CD-73480409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5"/>
        <c:showNegBubbles val="0"/>
        <c:axId val="1218671199"/>
        <c:axId val="1219239967"/>
      </c:bubbleChart>
      <c:valAx>
        <c:axId val="1218671199"/>
        <c:scaling>
          <c:orientation val="minMax"/>
          <c:max val="5100"/>
          <c:min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Weight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239967"/>
        <c:crosses val="autoZero"/>
        <c:crossBetween val="midCat"/>
      </c:valAx>
      <c:valAx>
        <c:axId val="1219239967"/>
        <c:scaling>
          <c:orientation val="minMax"/>
          <c:max val="51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671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87586</xdr:colOff>
      <xdr:row>29</xdr:row>
      <xdr:rowOff>176909</xdr:rowOff>
    </xdr:from>
    <xdr:to>
      <xdr:col>26</xdr:col>
      <xdr:colOff>328448</xdr:colOff>
      <xdr:row>45</xdr:row>
      <xdr:rowOff>109483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6023DFA-1DA2-064F-84DF-C06CA9655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W98"/>
  <sheetViews>
    <sheetView tabSelected="1" topLeftCell="K20" zoomScale="125" zoomScaleNormal="130" workbookViewId="0">
      <selection activeCell="AA52" sqref="AA52"/>
    </sheetView>
  </sheetViews>
  <sheetFormatPr baseColWidth="10" defaultRowHeight="16" x14ac:dyDescent="0.2"/>
  <sheetData>
    <row r="1" spans="2:23" x14ac:dyDescent="0.2">
      <c r="B1" t="s">
        <v>0</v>
      </c>
      <c r="E1" t="s">
        <v>3</v>
      </c>
      <c r="F1" t="s">
        <v>4</v>
      </c>
      <c r="G1" t="s">
        <v>5</v>
      </c>
      <c r="I1" t="s">
        <v>7</v>
      </c>
      <c r="J1" t="s">
        <v>8</v>
      </c>
      <c r="K1" t="s">
        <v>9</v>
      </c>
      <c r="P1" t="s">
        <v>1</v>
      </c>
      <c r="Q1" t="s">
        <v>6</v>
      </c>
      <c r="R1" t="s">
        <v>2</v>
      </c>
      <c r="S1" t="s">
        <v>87</v>
      </c>
    </row>
    <row r="2" spans="2:23" x14ac:dyDescent="0.2">
      <c r="B2">
        <v>2002</v>
      </c>
      <c r="E2">
        <v>4</v>
      </c>
      <c r="F2">
        <v>121</v>
      </c>
      <c r="G2">
        <v>113</v>
      </c>
      <c r="I2">
        <v>12.5</v>
      </c>
      <c r="J2">
        <v>70</v>
      </c>
      <c r="K2" t="s">
        <v>22</v>
      </c>
      <c r="O2">
        <v>30</v>
      </c>
      <c r="P2" t="s">
        <v>21</v>
      </c>
      <c r="Q2">
        <v>2234</v>
      </c>
      <c r="R2">
        <v>26</v>
      </c>
      <c r="S2">
        <f>Q2:Q96</f>
        <v>2234</v>
      </c>
    </row>
    <row r="3" spans="2:23" x14ac:dyDescent="0.2">
      <c r="B3" t="s">
        <v>55</v>
      </c>
      <c r="E3">
        <v>4</v>
      </c>
      <c r="F3">
        <v>121</v>
      </c>
      <c r="G3">
        <v>110</v>
      </c>
      <c r="I3">
        <v>12.8</v>
      </c>
      <c r="J3">
        <v>77</v>
      </c>
      <c r="K3" t="s">
        <v>22</v>
      </c>
      <c r="O3">
        <v>250</v>
      </c>
      <c r="P3" t="s">
        <v>21</v>
      </c>
      <c r="Q3">
        <v>2600</v>
      </c>
      <c r="R3">
        <v>21.5</v>
      </c>
      <c r="S3">
        <f t="shared" ref="S3:S66" si="0">Q3:Q97</f>
        <v>2600</v>
      </c>
    </row>
    <row r="4" spans="2:23" x14ac:dyDescent="0.2">
      <c r="B4" t="s">
        <v>10</v>
      </c>
      <c r="E4">
        <v>8</v>
      </c>
      <c r="F4">
        <v>302</v>
      </c>
      <c r="G4">
        <v>140</v>
      </c>
      <c r="I4">
        <v>10.5</v>
      </c>
      <c r="J4">
        <v>70</v>
      </c>
      <c r="K4" t="s">
        <v>12</v>
      </c>
      <c r="O4">
        <v>5</v>
      </c>
      <c r="P4" t="s">
        <v>11</v>
      </c>
      <c r="Q4">
        <v>3449</v>
      </c>
      <c r="R4">
        <v>17</v>
      </c>
      <c r="S4">
        <f t="shared" si="0"/>
        <v>3449</v>
      </c>
    </row>
    <row r="5" spans="2:23" x14ac:dyDescent="0.2">
      <c r="B5" t="s">
        <v>13</v>
      </c>
      <c r="E5">
        <v>8</v>
      </c>
      <c r="F5">
        <v>429</v>
      </c>
      <c r="G5">
        <v>198</v>
      </c>
      <c r="I5">
        <v>10</v>
      </c>
      <c r="J5">
        <v>70</v>
      </c>
      <c r="K5" t="s">
        <v>12</v>
      </c>
      <c r="O5">
        <v>6</v>
      </c>
      <c r="P5" t="s">
        <v>11</v>
      </c>
      <c r="Q5">
        <v>4341</v>
      </c>
      <c r="R5">
        <v>15</v>
      </c>
      <c r="S5">
        <f t="shared" si="0"/>
        <v>4341</v>
      </c>
    </row>
    <row r="6" spans="2:23" x14ac:dyDescent="0.2">
      <c r="B6" t="s">
        <v>14</v>
      </c>
      <c r="E6">
        <v>8</v>
      </c>
      <c r="F6">
        <v>351</v>
      </c>
      <c r="G6">
        <v>153</v>
      </c>
      <c r="I6">
        <v>11</v>
      </c>
      <c r="J6">
        <v>70</v>
      </c>
      <c r="K6" t="s">
        <v>12</v>
      </c>
      <c r="O6">
        <v>24</v>
      </c>
      <c r="P6" t="s">
        <v>11</v>
      </c>
      <c r="Q6">
        <v>2587</v>
      </c>
      <c r="R6">
        <v>21</v>
      </c>
      <c r="S6">
        <f t="shared" si="0"/>
        <v>2587</v>
      </c>
    </row>
    <row r="7" spans="2:23" x14ac:dyDescent="0.2">
      <c r="B7" t="s">
        <v>16</v>
      </c>
      <c r="E7">
        <v>8</v>
      </c>
      <c r="F7">
        <v>302</v>
      </c>
      <c r="G7">
        <v>140</v>
      </c>
      <c r="I7">
        <v>8</v>
      </c>
      <c r="J7">
        <v>70</v>
      </c>
      <c r="K7" t="s">
        <v>12</v>
      </c>
      <c r="O7">
        <v>32</v>
      </c>
      <c r="P7" t="s">
        <v>11</v>
      </c>
      <c r="Q7">
        <v>4615</v>
      </c>
      <c r="R7">
        <v>10</v>
      </c>
      <c r="S7">
        <f t="shared" si="0"/>
        <v>4615</v>
      </c>
    </row>
    <row r="8" spans="2:23" x14ac:dyDescent="0.2">
      <c r="B8" t="s">
        <v>20</v>
      </c>
      <c r="E8">
        <v>6</v>
      </c>
      <c r="F8">
        <v>200</v>
      </c>
      <c r="G8">
        <v>85</v>
      </c>
      <c r="I8">
        <v>16</v>
      </c>
      <c r="J8">
        <v>70</v>
      </c>
      <c r="K8" t="s">
        <v>12</v>
      </c>
      <c r="O8">
        <v>39</v>
      </c>
      <c r="P8" t="s">
        <v>11</v>
      </c>
      <c r="Q8">
        <v>2046</v>
      </c>
      <c r="R8">
        <v>25</v>
      </c>
      <c r="S8">
        <f t="shared" si="0"/>
        <v>2046</v>
      </c>
    </row>
    <row r="9" spans="2:23" x14ac:dyDescent="0.2">
      <c r="B9" t="s">
        <v>23</v>
      </c>
      <c r="E9">
        <v>8</v>
      </c>
      <c r="F9">
        <v>360</v>
      </c>
      <c r="G9">
        <v>215</v>
      </c>
      <c r="I9">
        <v>14</v>
      </c>
      <c r="J9">
        <v>70</v>
      </c>
      <c r="K9" t="s">
        <v>12</v>
      </c>
      <c r="O9">
        <v>44</v>
      </c>
      <c r="P9" t="s">
        <v>11</v>
      </c>
      <c r="Q9">
        <v>3302</v>
      </c>
      <c r="R9">
        <v>19</v>
      </c>
      <c r="S9">
        <f t="shared" si="0"/>
        <v>3302</v>
      </c>
    </row>
    <row r="10" spans="2:23" x14ac:dyDescent="0.2">
      <c r="B10" t="s">
        <v>25</v>
      </c>
      <c r="E10">
        <v>4</v>
      </c>
      <c r="F10">
        <v>98</v>
      </c>
      <c r="G10" t="s">
        <v>15</v>
      </c>
      <c r="I10">
        <v>19</v>
      </c>
      <c r="J10">
        <v>71</v>
      </c>
      <c r="K10" t="s">
        <v>12</v>
      </c>
      <c r="O10">
        <v>48</v>
      </c>
      <c r="P10" t="s">
        <v>11</v>
      </c>
      <c r="Q10">
        <v>4154</v>
      </c>
      <c r="R10">
        <v>14</v>
      </c>
      <c r="S10">
        <f t="shared" si="0"/>
        <v>4154</v>
      </c>
    </row>
    <row r="11" spans="2:23" x14ac:dyDescent="0.2">
      <c r="B11" t="s">
        <v>26</v>
      </c>
      <c r="E11">
        <v>6</v>
      </c>
      <c r="F11">
        <v>250</v>
      </c>
      <c r="G11">
        <v>88</v>
      </c>
      <c r="I11">
        <v>15.5</v>
      </c>
      <c r="J11">
        <v>71</v>
      </c>
      <c r="K11" t="s">
        <v>12</v>
      </c>
      <c r="O11">
        <v>51</v>
      </c>
      <c r="P11" t="s">
        <v>11</v>
      </c>
      <c r="Q11">
        <v>4746</v>
      </c>
      <c r="R11">
        <v>13</v>
      </c>
      <c r="S11">
        <f t="shared" si="0"/>
        <v>4746</v>
      </c>
    </row>
    <row r="12" spans="2:23" x14ac:dyDescent="0.2">
      <c r="B12" t="s">
        <v>13</v>
      </c>
      <c r="E12">
        <v>8</v>
      </c>
      <c r="F12">
        <v>351</v>
      </c>
      <c r="G12">
        <v>153</v>
      </c>
      <c r="I12">
        <v>13.5</v>
      </c>
      <c r="J12">
        <v>71</v>
      </c>
      <c r="K12" t="s">
        <v>12</v>
      </c>
      <c r="O12">
        <v>56</v>
      </c>
      <c r="P12" t="s">
        <v>11</v>
      </c>
      <c r="Q12">
        <v>3139</v>
      </c>
      <c r="R12">
        <v>18</v>
      </c>
      <c r="S12">
        <f t="shared" si="0"/>
        <v>3139</v>
      </c>
    </row>
    <row r="13" spans="2:23" x14ac:dyDescent="0.2">
      <c r="B13" t="s">
        <v>27</v>
      </c>
      <c r="E13">
        <v>8</v>
      </c>
      <c r="F13">
        <v>400</v>
      </c>
      <c r="G13">
        <v>170</v>
      </c>
      <c r="I13">
        <v>12</v>
      </c>
      <c r="J13">
        <v>71</v>
      </c>
      <c r="K13" t="s">
        <v>12</v>
      </c>
      <c r="O13">
        <v>69</v>
      </c>
      <c r="P13" t="s">
        <v>11</v>
      </c>
      <c r="Q13">
        <v>2226</v>
      </c>
      <c r="R13">
        <v>21</v>
      </c>
      <c r="S13">
        <f t="shared" si="0"/>
        <v>2226</v>
      </c>
      <c r="W13" t="s">
        <v>86</v>
      </c>
    </row>
    <row r="14" spans="2:23" x14ac:dyDescent="0.2">
      <c r="B14" t="s">
        <v>28</v>
      </c>
      <c r="E14">
        <v>6</v>
      </c>
      <c r="F14">
        <v>250</v>
      </c>
      <c r="G14">
        <v>88</v>
      </c>
      <c r="I14">
        <v>14.5</v>
      </c>
      <c r="J14">
        <v>71</v>
      </c>
      <c r="K14" t="s">
        <v>12</v>
      </c>
      <c r="O14">
        <v>73</v>
      </c>
      <c r="P14" t="s">
        <v>11</v>
      </c>
      <c r="Q14">
        <v>4129</v>
      </c>
      <c r="R14">
        <v>14</v>
      </c>
      <c r="S14">
        <f t="shared" si="0"/>
        <v>4129</v>
      </c>
    </row>
    <row r="15" spans="2:23" x14ac:dyDescent="0.2">
      <c r="B15" t="s">
        <v>31</v>
      </c>
      <c r="E15">
        <v>4</v>
      </c>
      <c r="F15">
        <v>122</v>
      </c>
      <c r="G15">
        <v>86</v>
      </c>
      <c r="I15">
        <v>16.5</v>
      </c>
      <c r="J15">
        <v>72</v>
      </c>
      <c r="K15" t="s">
        <v>12</v>
      </c>
      <c r="O15">
        <v>82</v>
      </c>
      <c r="P15" t="s">
        <v>11</v>
      </c>
      <c r="Q15">
        <v>4294</v>
      </c>
      <c r="R15">
        <v>13</v>
      </c>
      <c r="S15">
        <f t="shared" si="0"/>
        <v>4294</v>
      </c>
    </row>
    <row r="16" spans="2:23" x14ac:dyDescent="0.2">
      <c r="B16" t="s">
        <v>13</v>
      </c>
      <c r="E16">
        <v>8</v>
      </c>
      <c r="F16">
        <v>351</v>
      </c>
      <c r="G16">
        <v>153</v>
      </c>
      <c r="I16">
        <v>13</v>
      </c>
      <c r="J16">
        <v>72</v>
      </c>
      <c r="K16" t="s">
        <v>12</v>
      </c>
      <c r="O16">
        <v>88</v>
      </c>
      <c r="P16" t="s">
        <v>11</v>
      </c>
      <c r="Q16">
        <v>2395</v>
      </c>
      <c r="R16">
        <v>22</v>
      </c>
      <c r="S16">
        <f t="shared" si="0"/>
        <v>2395</v>
      </c>
    </row>
    <row r="17" spans="2:19" x14ac:dyDescent="0.2">
      <c r="B17" t="s">
        <v>32</v>
      </c>
      <c r="E17">
        <v>8</v>
      </c>
      <c r="F17">
        <v>302</v>
      </c>
      <c r="G17">
        <v>140</v>
      </c>
      <c r="I17">
        <v>16</v>
      </c>
      <c r="J17">
        <v>72</v>
      </c>
      <c r="K17" t="s">
        <v>12</v>
      </c>
      <c r="O17">
        <v>96</v>
      </c>
      <c r="P17" t="s">
        <v>11</v>
      </c>
      <c r="Q17">
        <v>4042</v>
      </c>
      <c r="R17">
        <v>14</v>
      </c>
      <c r="S17">
        <f t="shared" si="0"/>
        <v>4042</v>
      </c>
    </row>
    <row r="18" spans="2:19" x14ac:dyDescent="0.2">
      <c r="B18" t="s">
        <v>33</v>
      </c>
      <c r="E18">
        <v>4</v>
      </c>
      <c r="F18">
        <v>122</v>
      </c>
      <c r="G18">
        <v>86</v>
      </c>
      <c r="I18">
        <v>16</v>
      </c>
      <c r="J18">
        <v>72</v>
      </c>
      <c r="K18" t="s">
        <v>12</v>
      </c>
      <c r="O18">
        <v>100</v>
      </c>
      <c r="P18" t="s">
        <v>11</v>
      </c>
      <c r="Q18">
        <v>4363</v>
      </c>
      <c r="R18">
        <v>13</v>
      </c>
      <c r="S18">
        <f t="shared" si="0"/>
        <v>4363</v>
      </c>
    </row>
    <row r="19" spans="2:19" x14ac:dyDescent="0.2">
      <c r="B19" t="s">
        <v>36</v>
      </c>
      <c r="E19">
        <v>8</v>
      </c>
      <c r="F19">
        <v>302</v>
      </c>
      <c r="G19">
        <v>137</v>
      </c>
      <c r="I19">
        <v>14.5</v>
      </c>
      <c r="J19">
        <v>73</v>
      </c>
      <c r="K19" t="s">
        <v>12</v>
      </c>
      <c r="O19">
        <v>108</v>
      </c>
      <c r="P19" t="s">
        <v>11</v>
      </c>
      <c r="Q19">
        <v>3021</v>
      </c>
      <c r="R19">
        <v>18</v>
      </c>
      <c r="S19">
        <f t="shared" si="0"/>
        <v>3021</v>
      </c>
    </row>
    <row r="20" spans="2:19" x14ac:dyDescent="0.2">
      <c r="B20" t="s">
        <v>37</v>
      </c>
      <c r="E20">
        <v>8</v>
      </c>
      <c r="F20">
        <v>351</v>
      </c>
      <c r="G20">
        <v>158</v>
      </c>
      <c r="I20">
        <v>13</v>
      </c>
      <c r="J20">
        <v>73</v>
      </c>
      <c r="K20" t="s">
        <v>12</v>
      </c>
      <c r="O20">
        <v>112</v>
      </c>
      <c r="P20" t="s">
        <v>11</v>
      </c>
      <c r="Q20">
        <v>4906</v>
      </c>
      <c r="R20">
        <v>12</v>
      </c>
      <c r="S20">
        <f t="shared" si="0"/>
        <v>4906</v>
      </c>
    </row>
    <row r="21" spans="2:19" x14ac:dyDescent="0.2">
      <c r="B21" t="s">
        <v>20</v>
      </c>
      <c r="E21">
        <v>6</v>
      </c>
      <c r="F21">
        <v>250</v>
      </c>
      <c r="G21">
        <v>88</v>
      </c>
      <c r="I21">
        <v>16.5</v>
      </c>
      <c r="J21">
        <v>73</v>
      </c>
      <c r="K21" t="s">
        <v>12</v>
      </c>
      <c r="O21">
        <v>120</v>
      </c>
      <c r="P21" t="s">
        <v>11</v>
      </c>
      <c r="Q21">
        <v>2310</v>
      </c>
      <c r="R21">
        <v>19</v>
      </c>
      <c r="S21">
        <f t="shared" si="0"/>
        <v>2310</v>
      </c>
    </row>
    <row r="22" spans="2:19" x14ac:dyDescent="0.2">
      <c r="B22" t="s">
        <v>38</v>
      </c>
      <c r="E22">
        <v>8</v>
      </c>
      <c r="F22">
        <v>400</v>
      </c>
      <c r="G22">
        <v>167</v>
      </c>
      <c r="I22">
        <v>12.5</v>
      </c>
      <c r="J22">
        <v>73</v>
      </c>
      <c r="K22" t="s">
        <v>12</v>
      </c>
      <c r="O22">
        <v>134</v>
      </c>
      <c r="P22" t="s">
        <v>11</v>
      </c>
      <c r="Q22">
        <v>2875</v>
      </c>
      <c r="R22">
        <v>21</v>
      </c>
      <c r="S22">
        <f t="shared" si="0"/>
        <v>2875</v>
      </c>
    </row>
    <row r="23" spans="2:19" x14ac:dyDescent="0.2">
      <c r="B23" t="s">
        <v>25</v>
      </c>
      <c r="E23">
        <v>4</v>
      </c>
      <c r="F23">
        <v>122</v>
      </c>
      <c r="G23">
        <v>85</v>
      </c>
      <c r="I23">
        <v>18.5</v>
      </c>
      <c r="J23">
        <v>73</v>
      </c>
      <c r="K23" t="s">
        <v>12</v>
      </c>
      <c r="O23">
        <v>138</v>
      </c>
      <c r="P23" t="s">
        <v>11</v>
      </c>
      <c r="Q23">
        <v>2451</v>
      </c>
      <c r="R23">
        <v>26</v>
      </c>
      <c r="S23">
        <f t="shared" si="0"/>
        <v>2451</v>
      </c>
    </row>
    <row r="24" spans="2:19" x14ac:dyDescent="0.2">
      <c r="B24" t="s">
        <v>20</v>
      </c>
      <c r="E24">
        <v>6</v>
      </c>
      <c r="F24">
        <v>200</v>
      </c>
      <c r="G24" t="s">
        <v>15</v>
      </c>
      <c r="I24">
        <v>17</v>
      </c>
      <c r="J24">
        <v>74</v>
      </c>
      <c r="K24" t="s">
        <v>12</v>
      </c>
      <c r="O24">
        <v>144</v>
      </c>
      <c r="P24" t="s">
        <v>11</v>
      </c>
      <c r="Q24">
        <v>4141</v>
      </c>
      <c r="R24">
        <v>16</v>
      </c>
      <c r="S24">
        <f t="shared" si="0"/>
        <v>4141</v>
      </c>
    </row>
    <row r="25" spans="2:19" x14ac:dyDescent="0.2">
      <c r="B25" t="s">
        <v>25</v>
      </c>
      <c r="E25">
        <v>4</v>
      </c>
      <c r="F25">
        <v>122</v>
      </c>
      <c r="G25">
        <v>80</v>
      </c>
      <c r="I25">
        <v>16.5</v>
      </c>
      <c r="J25">
        <v>74</v>
      </c>
      <c r="K25" t="s">
        <v>12</v>
      </c>
      <c r="O25">
        <v>147</v>
      </c>
      <c r="P25" t="s">
        <v>11</v>
      </c>
      <c r="Q25">
        <v>4638</v>
      </c>
      <c r="R25">
        <v>14</v>
      </c>
      <c r="S25">
        <f t="shared" si="0"/>
        <v>4638</v>
      </c>
    </row>
    <row r="26" spans="2:19" x14ac:dyDescent="0.2">
      <c r="B26" t="s">
        <v>36</v>
      </c>
      <c r="E26">
        <v>8</v>
      </c>
      <c r="F26">
        <v>302</v>
      </c>
      <c r="G26">
        <v>140</v>
      </c>
      <c r="I26">
        <v>14</v>
      </c>
      <c r="J26">
        <v>74</v>
      </c>
      <c r="K26" t="s">
        <v>12</v>
      </c>
      <c r="O26">
        <v>163</v>
      </c>
      <c r="P26" t="s">
        <v>11</v>
      </c>
      <c r="Q26">
        <v>3158</v>
      </c>
      <c r="R26">
        <v>15</v>
      </c>
      <c r="S26">
        <f t="shared" si="0"/>
        <v>3158</v>
      </c>
    </row>
    <row r="27" spans="2:19" x14ac:dyDescent="0.2">
      <c r="B27" t="s">
        <v>32</v>
      </c>
      <c r="E27">
        <v>8</v>
      </c>
      <c r="F27">
        <v>302</v>
      </c>
      <c r="G27">
        <v>140</v>
      </c>
      <c r="I27">
        <v>16</v>
      </c>
      <c r="J27">
        <v>74</v>
      </c>
      <c r="K27" t="s">
        <v>12</v>
      </c>
      <c r="O27">
        <v>167</v>
      </c>
      <c r="P27" t="s">
        <v>11</v>
      </c>
      <c r="Q27">
        <v>4657</v>
      </c>
      <c r="R27">
        <v>14</v>
      </c>
      <c r="S27">
        <f t="shared" si="0"/>
        <v>4657</v>
      </c>
    </row>
    <row r="28" spans="2:19" x14ac:dyDescent="0.2">
      <c r="B28" t="s">
        <v>20</v>
      </c>
      <c r="E28">
        <v>6</v>
      </c>
      <c r="F28">
        <v>250</v>
      </c>
      <c r="G28">
        <v>72</v>
      </c>
      <c r="I28">
        <v>19.5</v>
      </c>
      <c r="J28">
        <v>75</v>
      </c>
      <c r="K28" t="s">
        <v>12</v>
      </c>
      <c r="O28">
        <v>174</v>
      </c>
      <c r="P28" t="s">
        <v>11</v>
      </c>
      <c r="Q28">
        <v>3169</v>
      </c>
      <c r="R28">
        <v>13</v>
      </c>
      <c r="S28">
        <f t="shared" si="0"/>
        <v>3169</v>
      </c>
    </row>
    <row r="29" spans="2:19" x14ac:dyDescent="0.2">
      <c r="B29" t="s">
        <v>37</v>
      </c>
      <c r="E29">
        <v>8</v>
      </c>
      <c r="F29">
        <v>351</v>
      </c>
      <c r="G29">
        <v>148</v>
      </c>
      <c r="I29">
        <v>13.5</v>
      </c>
      <c r="J29">
        <v>75</v>
      </c>
      <c r="K29" t="s">
        <v>12</v>
      </c>
      <c r="O29">
        <v>176</v>
      </c>
      <c r="P29" t="s">
        <v>11</v>
      </c>
      <c r="Q29">
        <v>2639</v>
      </c>
      <c r="R29">
        <v>23</v>
      </c>
      <c r="S29">
        <f t="shared" si="0"/>
        <v>2639</v>
      </c>
    </row>
    <row r="30" spans="2:19" x14ac:dyDescent="0.2">
      <c r="B30" t="s">
        <v>43</v>
      </c>
      <c r="E30">
        <v>8</v>
      </c>
      <c r="F30">
        <v>302</v>
      </c>
      <c r="G30">
        <v>129</v>
      </c>
      <c r="I30">
        <v>12</v>
      </c>
      <c r="J30">
        <v>75</v>
      </c>
      <c r="K30" t="s">
        <v>12</v>
      </c>
      <c r="O30">
        <v>182</v>
      </c>
      <c r="P30" t="s">
        <v>11</v>
      </c>
      <c r="Q30">
        <v>2984</v>
      </c>
      <c r="R30">
        <v>18</v>
      </c>
      <c r="S30">
        <f t="shared" si="0"/>
        <v>2984</v>
      </c>
    </row>
    <row r="31" spans="2:19" x14ac:dyDescent="0.2">
      <c r="B31" t="s">
        <v>25</v>
      </c>
      <c r="E31">
        <v>4</v>
      </c>
      <c r="F31">
        <v>140</v>
      </c>
      <c r="G31">
        <v>83</v>
      </c>
      <c r="I31">
        <v>17</v>
      </c>
      <c r="J31">
        <v>75</v>
      </c>
      <c r="K31" t="s">
        <v>12</v>
      </c>
      <c r="O31">
        <v>198</v>
      </c>
      <c r="P31" t="s">
        <v>11</v>
      </c>
      <c r="Q31">
        <v>4215</v>
      </c>
      <c r="R31">
        <v>14.5</v>
      </c>
      <c r="S31">
        <f t="shared" si="0"/>
        <v>4215</v>
      </c>
    </row>
    <row r="32" spans="2:19" x14ac:dyDescent="0.2">
      <c r="B32" t="s">
        <v>25</v>
      </c>
      <c r="E32">
        <v>6</v>
      </c>
      <c r="F32">
        <v>171</v>
      </c>
      <c r="G32">
        <v>97</v>
      </c>
      <c r="I32">
        <v>14.5</v>
      </c>
      <c r="J32">
        <v>75</v>
      </c>
      <c r="K32" t="s">
        <v>12</v>
      </c>
      <c r="O32">
        <v>201</v>
      </c>
      <c r="P32" t="s">
        <v>11</v>
      </c>
      <c r="Q32">
        <v>3012</v>
      </c>
      <c r="R32">
        <v>24</v>
      </c>
      <c r="S32">
        <f t="shared" si="0"/>
        <v>3012</v>
      </c>
    </row>
    <row r="33" spans="2:19" x14ac:dyDescent="0.2">
      <c r="B33" t="s">
        <v>36</v>
      </c>
      <c r="E33">
        <v>8</v>
      </c>
      <c r="F33">
        <v>351</v>
      </c>
      <c r="G33">
        <v>152</v>
      </c>
      <c r="I33">
        <v>12.8</v>
      </c>
      <c r="J33">
        <v>76</v>
      </c>
      <c r="K33" t="s">
        <v>12</v>
      </c>
      <c r="O33">
        <v>208</v>
      </c>
      <c r="P33" t="s">
        <v>11</v>
      </c>
      <c r="Q33">
        <v>3574</v>
      </c>
      <c r="R33">
        <v>18</v>
      </c>
      <c r="S33">
        <f t="shared" si="0"/>
        <v>3574</v>
      </c>
    </row>
    <row r="34" spans="2:19" x14ac:dyDescent="0.2">
      <c r="B34" t="s">
        <v>20</v>
      </c>
      <c r="E34">
        <v>6</v>
      </c>
      <c r="F34">
        <v>200</v>
      </c>
      <c r="G34">
        <v>81</v>
      </c>
      <c r="I34">
        <v>17.600000000000001</v>
      </c>
      <c r="J34">
        <v>76</v>
      </c>
      <c r="K34" t="s">
        <v>12</v>
      </c>
      <c r="O34">
        <v>214</v>
      </c>
      <c r="P34" t="s">
        <v>11</v>
      </c>
      <c r="Q34">
        <v>2565</v>
      </c>
      <c r="R34">
        <v>26.5</v>
      </c>
      <c r="S34">
        <f t="shared" si="0"/>
        <v>2565</v>
      </c>
    </row>
    <row r="35" spans="2:19" x14ac:dyDescent="0.2">
      <c r="B35" t="s">
        <v>46</v>
      </c>
      <c r="E35">
        <v>6</v>
      </c>
      <c r="F35">
        <v>250</v>
      </c>
      <c r="G35">
        <v>78</v>
      </c>
      <c r="I35">
        <v>21</v>
      </c>
      <c r="J35">
        <v>76</v>
      </c>
      <c r="K35" t="s">
        <v>12</v>
      </c>
      <c r="O35">
        <v>222</v>
      </c>
      <c r="P35" t="s">
        <v>11</v>
      </c>
      <c r="Q35">
        <v>3870</v>
      </c>
      <c r="R35">
        <v>13</v>
      </c>
      <c r="S35">
        <f t="shared" si="0"/>
        <v>3870</v>
      </c>
    </row>
    <row r="36" spans="2:19" x14ac:dyDescent="0.2">
      <c r="B36" t="s">
        <v>25</v>
      </c>
      <c r="E36">
        <v>4</v>
      </c>
      <c r="F36">
        <v>140</v>
      </c>
      <c r="G36">
        <v>72</v>
      </c>
      <c r="I36">
        <v>13.6</v>
      </c>
      <c r="J36">
        <v>76</v>
      </c>
      <c r="K36" t="s">
        <v>12</v>
      </c>
      <c r="O36">
        <v>236</v>
      </c>
      <c r="P36" t="s">
        <v>11</v>
      </c>
      <c r="Q36">
        <v>3525</v>
      </c>
      <c r="R36">
        <v>18.5</v>
      </c>
      <c r="S36">
        <f t="shared" si="0"/>
        <v>3525</v>
      </c>
    </row>
    <row r="37" spans="2:19" x14ac:dyDescent="0.2">
      <c r="B37" t="s">
        <v>49</v>
      </c>
      <c r="E37">
        <v>8</v>
      </c>
      <c r="F37">
        <v>302</v>
      </c>
      <c r="G37">
        <v>130</v>
      </c>
      <c r="I37">
        <v>15</v>
      </c>
      <c r="J37">
        <v>76</v>
      </c>
      <c r="K37" t="s">
        <v>12</v>
      </c>
      <c r="O37">
        <v>240</v>
      </c>
      <c r="P37" t="s">
        <v>11</v>
      </c>
      <c r="Q37">
        <v>4335</v>
      </c>
      <c r="R37">
        <v>16</v>
      </c>
      <c r="S37">
        <f t="shared" si="0"/>
        <v>4335</v>
      </c>
    </row>
    <row r="38" spans="2:19" x14ac:dyDescent="0.2">
      <c r="B38" t="s">
        <v>51</v>
      </c>
      <c r="E38">
        <v>6</v>
      </c>
      <c r="F38">
        <v>250</v>
      </c>
      <c r="G38">
        <v>98</v>
      </c>
      <c r="I38">
        <v>19</v>
      </c>
      <c r="J38">
        <v>77</v>
      </c>
      <c r="K38" t="s">
        <v>12</v>
      </c>
      <c r="O38">
        <v>244</v>
      </c>
      <c r="P38" t="s">
        <v>11</v>
      </c>
      <c r="Q38">
        <v>2755</v>
      </c>
      <c r="R38">
        <v>25.5</v>
      </c>
      <c r="S38">
        <f t="shared" si="0"/>
        <v>2755</v>
      </c>
    </row>
    <row r="39" spans="2:19" x14ac:dyDescent="0.2">
      <c r="B39" t="s">
        <v>52</v>
      </c>
      <c r="E39">
        <v>8</v>
      </c>
      <c r="F39">
        <v>351</v>
      </c>
      <c r="G39">
        <v>149</v>
      </c>
      <c r="I39">
        <v>14.5</v>
      </c>
      <c r="J39">
        <v>77</v>
      </c>
      <c r="K39" t="s">
        <v>12</v>
      </c>
      <c r="O39">
        <v>253</v>
      </c>
      <c r="P39" t="s">
        <v>11</v>
      </c>
      <c r="Q39">
        <v>1800</v>
      </c>
      <c r="R39">
        <v>36.1</v>
      </c>
      <c r="S39">
        <f t="shared" si="0"/>
        <v>1800</v>
      </c>
    </row>
    <row r="40" spans="2:19" x14ac:dyDescent="0.2">
      <c r="B40" t="s">
        <v>54</v>
      </c>
      <c r="E40">
        <v>4</v>
      </c>
      <c r="F40">
        <v>140</v>
      </c>
      <c r="G40">
        <v>89</v>
      </c>
      <c r="I40">
        <v>15.8</v>
      </c>
      <c r="J40">
        <v>77</v>
      </c>
      <c r="K40" t="s">
        <v>12</v>
      </c>
      <c r="O40">
        <v>262</v>
      </c>
      <c r="P40" t="s">
        <v>11</v>
      </c>
      <c r="Q40">
        <v>2965</v>
      </c>
      <c r="R40">
        <v>20.2</v>
      </c>
      <c r="S40">
        <f t="shared" si="0"/>
        <v>2965</v>
      </c>
    </row>
    <row r="41" spans="2:19" x14ac:dyDescent="0.2">
      <c r="B41" t="s">
        <v>56</v>
      </c>
      <c r="E41">
        <v>4</v>
      </c>
      <c r="F41">
        <v>98</v>
      </c>
      <c r="G41">
        <v>66</v>
      </c>
      <c r="I41">
        <v>14.4</v>
      </c>
      <c r="J41">
        <v>78</v>
      </c>
      <c r="K41" t="s">
        <v>12</v>
      </c>
      <c r="O41">
        <v>263</v>
      </c>
      <c r="P41" t="s">
        <v>11</v>
      </c>
      <c r="Q41">
        <v>2720</v>
      </c>
      <c r="R41">
        <v>25.1</v>
      </c>
      <c r="S41">
        <f t="shared" si="0"/>
        <v>2720</v>
      </c>
    </row>
    <row r="42" spans="2:19" x14ac:dyDescent="0.2">
      <c r="B42" t="s">
        <v>57</v>
      </c>
      <c r="E42">
        <v>6</v>
      </c>
      <c r="F42">
        <v>200</v>
      </c>
      <c r="G42">
        <v>85</v>
      </c>
      <c r="I42">
        <v>15.8</v>
      </c>
      <c r="J42">
        <v>78</v>
      </c>
      <c r="K42" t="s">
        <v>12</v>
      </c>
      <c r="O42">
        <v>272</v>
      </c>
      <c r="P42" t="s">
        <v>11</v>
      </c>
      <c r="Q42">
        <v>3205</v>
      </c>
      <c r="R42">
        <v>18.100000000000001</v>
      </c>
      <c r="S42">
        <f t="shared" si="0"/>
        <v>3205</v>
      </c>
    </row>
    <row r="43" spans="2:19" x14ac:dyDescent="0.2">
      <c r="B43" t="s">
        <v>58</v>
      </c>
      <c r="E43">
        <v>4</v>
      </c>
      <c r="F43">
        <v>140</v>
      </c>
      <c r="G43">
        <v>88</v>
      </c>
      <c r="I43">
        <v>15.4</v>
      </c>
      <c r="J43">
        <v>78</v>
      </c>
      <c r="K43" t="s">
        <v>12</v>
      </c>
      <c r="O43">
        <v>290</v>
      </c>
      <c r="P43" t="s">
        <v>11</v>
      </c>
      <c r="Q43">
        <v>2890</v>
      </c>
      <c r="R43">
        <v>22.3</v>
      </c>
      <c r="S43">
        <f t="shared" si="0"/>
        <v>2890</v>
      </c>
    </row>
    <row r="44" spans="2:19" x14ac:dyDescent="0.2">
      <c r="B44" t="s">
        <v>59</v>
      </c>
      <c r="E44">
        <v>8</v>
      </c>
      <c r="F44">
        <v>302</v>
      </c>
      <c r="G44">
        <v>139</v>
      </c>
      <c r="I44">
        <v>11.2</v>
      </c>
      <c r="J44">
        <v>78</v>
      </c>
      <c r="K44" t="s">
        <v>12</v>
      </c>
      <c r="O44">
        <v>294</v>
      </c>
      <c r="P44" t="s">
        <v>11</v>
      </c>
      <c r="Q44">
        <v>3725</v>
      </c>
      <c r="R44">
        <v>17.600000000000001</v>
      </c>
      <c r="S44">
        <f t="shared" si="0"/>
        <v>3725</v>
      </c>
    </row>
    <row r="45" spans="2:19" x14ac:dyDescent="0.2">
      <c r="B45" t="s">
        <v>62</v>
      </c>
      <c r="E45">
        <v>4</v>
      </c>
      <c r="F45">
        <v>140</v>
      </c>
      <c r="G45">
        <v>88</v>
      </c>
      <c r="I45">
        <v>17.3</v>
      </c>
      <c r="J45">
        <v>79</v>
      </c>
      <c r="K45" t="s">
        <v>12</v>
      </c>
      <c r="O45">
        <v>298</v>
      </c>
      <c r="P45" t="s">
        <v>11</v>
      </c>
      <c r="Q45">
        <v>4054</v>
      </c>
      <c r="R45">
        <v>15.5</v>
      </c>
      <c r="S45">
        <f t="shared" si="0"/>
        <v>4054</v>
      </c>
    </row>
    <row r="46" spans="2:19" x14ac:dyDescent="0.2">
      <c r="B46" t="s">
        <v>63</v>
      </c>
      <c r="E46">
        <v>8</v>
      </c>
      <c r="F46">
        <v>302</v>
      </c>
      <c r="G46">
        <v>129</v>
      </c>
      <c r="I46">
        <v>13.4</v>
      </c>
      <c r="J46">
        <v>79</v>
      </c>
      <c r="K46" t="s">
        <v>12</v>
      </c>
      <c r="O46">
        <v>322</v>
      </c>
      <c r="P46" t="s">
        <v>11</v>
      </c>
      <c r="Q46">
        <v>2870</v>
      </c>
      <c r="R46">
        <v>26.4</v>
      </c>
      <c r="S46">
        <f t="shared" si="0"/>
        <v>2870</v>
      </c>
    </row>
    <row r="47" spans="2:19" x14ac:dyDescent="0.2">
      <c r="B47" t="s">
        <v>27</v>
      </c>
      <c r="E47">
        <v>8</v>
      </c>
      <c r="F47">
        <v>351</v>
      </c>
      <c r="G47">
        <v>142</v>
      </c>
      <c r="I47">
        <v>14.3</v>
      </c>
      <c r="J47">
        <v>79</v>
      </c>
      <c r="K47" t="s">
        <v>12</v>
      </c>
      <c r="O47">
        <v>344</v>
      </c>
      <c r="P47" t="s">
        <v>11</v>
      </c>
      <c r="Q47">
        <v>2905</v>
      </c>
      <c r="R47">
        <v>23.6</v>
      </c>
      <c r="S47">
        <f t="shared" si="0"/>
        <v>2905</v>
      </c>
    </row>
    <row r="48" spans="2:19" x14ac:dyDescent="0.2">
      <c r="B48" t="s">
        <v>66</v>
      </c>
      <c r="E48">
        <v>4</v>
      </c>
      <c r="F48">
        <v>140</v>
      </c>
      <c r="G48">
        <v>88</v>
      </c>
      <c r="I48">
        <v>18.100000000000001</v>
      </c>
      <c r="J48">
        <v>80</v>
      </c>
      <c r="K48" t="s">
        <v>12</v>
      </c>
      <c r="O48">
        <v>359</v>
      </c>
      <c r="P48" t="s">
        <v>11</v>
      </c>
      <c r="Q48">
        <v>2045</v>
      </c>
      <c r="R48">
        <v>34.4</v>
      </c>
      <c r="S48">
        <f t="shared" si="0"/>
        <v>2045</v>
      </c>
    </row>
    <row r="49" spans="2:19" x14ac:dyDescent="0.2">
      <c r="B49" t="s">
        <v>70</v>
      </c>
      <c r="E49">
        <v>4</v>
      </c>
      <c r="F49">
        <v>140</v>
      </c>
      <c r="G49" t="s">
        <v>15</v>
      </c>
      <c r="I49">
        <v>14.3</v>
      </c>
      <c r="J49">
        <v>80</v>
      </c>
      <c r="K49" t="s">
        <v>12</v>
      </c>
      <c r="O49">
        <v>360</v>
      </c>
      <c r="P49" t="s">
        <v>11</v>
      </c>
      <c r="Q49">
        <v>2380</v>
      </c>
      <c r="R49">
        <v>29.9</v>
      </c>
      <c r="S49">
        <f t="shared" si="0"/>
        <v>2380</v>
      </c>
    </row>
    <row r="50" spans="2:19" x14ac:dyDescent="0.2">
      <c r="B50" t="s">
        <v>75</v>
      </c>
      <c r="E50">
        <v>4</v>
      </c>
      <c r="F50">
        <v>98</v>
      </c>
      <c r="G50">
        <v>65</v>
      </c>
      <c r="I50">
        <v>16.2</v>
      </c>
      <c r="J50">
        <v>81</v>
      </c>
      <c r="K50" t="s">
        <v>12</v>
      </c>
      <c r="O50">
        <v>374</v>
      </c>
      <c r="P50" t="s">
        <v>11</v>
      </c>
      <c r="Q50">
        <v>3060</v>
      </c>
      <c r="R50">
        <v>20.2</v>
      </c>
      <c r="S50">
        <f t="shared" si="0"/>
        <v>3060</v>
      </c>
    </row>
    <row r="51" spans="2:19" x14ac:dyDescent="0.2">
      <c r="B51" t="s">
        <v>76</v>
      </c>
      <c r="E51">
        <v>4</v>
      </c>
      <c r="F51">
        <v>98</v>
      </c>
      <c r="G51">
        <v>65</v>
      </c>
      <c r="I51">
        <v>20.7</v>
      </c>
      <c r="J51">
        <v>81</v>
      </c>
      <c r="K51" t="s">
        <v>12</v>
      </c>
      <c r="O51">
        <v>382</v>
      </c>
      <c r="P51" t="s">
        <v>11</v>
      </c>
      <c r="Q51">
        <v>2865</v>
      </c>
      <c r="R51">
        <v>24</v>
      </c>
      <c r="S51">
        <f t="shared" si="0"/>
        <v>2865</v>
      </c>
    </row>
    <row r="52" spans="2:19" x14ac:dyDescent="0.2">
      <c r="B52" t="s">
        <v>79</v>
      </c>
      <c r="E52">
        <v>6</v>
      </c>
      <c r="F52">
        <v>200</v>
      </c>
      <c r="G52">
        <v>88</v>
      </c>
      <c r="I52">
        <v>17.100000000000001</v>
      </c>
      <c r="J52">
        <v>81</v>
      </c>
      <c r="K52" t="s">
        <v>12</v>
      </c>
      <c r="O52">
        <v>398</v>
      </c>
      <c r="P52" t="s">
        <v>11</v>
      </c>
      <c r="Q52">
        <v>2835</v>
      </c>
      <c r="R52">
        <v>22</v>
      </c>
      <c r="S52">
        <f t="shared" si="0"/>
        <v>2835</v>
      </c>
    </row>
    <row r="53" spans="2:19" x14ac:dyDescent="0.2">
      <c r="B53" t="s">
        <v>80</v>
      </c>
      <c r="E53">
        <v>4</v>
      </c>
      <c r="F53">
        <v>140</v>
      </c>
      <c r="G53">
        <v>92</v>
      </c>
      <c r="I53">
        <v>16.399999999999999</v>
      </c>
      <c r="J53">
        <v>82</v>
      </c>
      <c r="K53" t="s">
        <v>12</v>
      </c>
      <c r="O53">
        <v>402</v>
      </c>
      <c r="P53" t="s">
        <v>11</v>
      </c>
      <c r="Q53">
        <v>2790</v>
      </c>
      <c r="R53">
        <v>27</v>
      </c>
      <c r="S53">
        <f t="shared" si="0"/>
        <v>2790</v>
      </c>
    </row>
    <row r="54" spans="2:19" x14ac:dyDescent="0.2">
      <c r="B54" t="s">
        <v>82</v>
      </c>
      <c r="E54">
        <v>6</v>
      </c>
      <c r="F54">
        <v>232</v>
      </c>
      <c r="G54">
        <v>112</v>
      </c>
      <c r="I54">
        <v>14.7</v>
      </c>
      <c r="J54">
        <v>82</v>
      </c>
      <c r="K54" t="s">
        <v>12</v>
      </c>
      <c r="O54">
        <v>405</v>
      </c>
      <c r="P54" t="s">
        <v>11</v>
      </c>
      <c r="Q54">
        <v>2625</v>
      </c>
      <c r="R54">
        <v>28</v>
      </c>
      <c r="S54">
        <f t="shared" si="0"/>
        <v>2625</v>
      </c>
    </row>
    <row r="55" spans="2:19" x14ac:dyDescent="0.2">
      <c r="B55" t="s">
        <v>84</v>
      </c>
      <c r="E55">
        <v>4</v>
      </c>
      <c r="F55">
        <v>140</v>
      </c>
      <c r="G55">
        <v>86</v>
      </c>
      <c r="I55">
        <v>15.6</v>
      </c>
      <c r="J55">
        <v>82</v>
      </c>
      <c r="K55" t="s">
        <v>12</v>
      </c>
      <c r="O55">
        <v>157</v>
      </c>
      <c r="P55" t="s">
        <v>42</v>
      </c>
      <c r="Q55">
        <v>2489</v>
      </c>
      <c r="R55">
        <v>24</v>
      </c>
      <c r="S55">
        <f t="shared" si="0"/>
        <v>2489</v>
      </c>
    </row>
    <row r="56" spans="2:19" x14ac:dyDescent="0.2">
      <c r="B56" t="s">
        <v>85</v>
      </c>
      <c r="E56">
        <v>4</v>
      </c>
      <c r="F56">
        <v>120</v>
      </c>
      <c r="G56">
        <v>79</v>
      </c>
      <c r="I56">
        <v>18.600000000000001</v>
      </c>
      <c r="J56">
        <v>82</v>
      </c>
      <c r="K56" t="s">
        <v>12</v>
      </c>
      <c r="O56">
        <v>189</v>
      </c>
      <c r="P56" t="s">
        <v>42</v>
      </c>
      <c r="Q56">
        <v>1795</v>
      </c>
      <c r="R56">
        <v>33</v>
      </c>
      <c r="S56">
        <f t="shared" si="0"/>
        <v>1795</v>
      </c>
    </row>
    <row r="57" spans="2:19" x14ac:dyDescent="0.2">
      <c r="B57" t="s">
        <v>41</v>
      </c>
      <c r="E57">
        <v>4</v>
      </c>
      <c r="F57">
        <v>120</v>
      </c>
      <c r="G57">
        <v>97</v>
      </c>
      <c r="I57">
        <v>15</v>
      </c>
      <c r="J57">
        <v>74</v>
      </c>
      <c r="K57" t="s">
        <v>19</v>
      </c>
      <c r="O57">
        <v>206</v>
      </c>
      <c r="P57" t="s">
        <v>42</v>
      </c>
      <c r="Q57">
        <v>1795</v>
      </c>
      <c r="R57">
        <v>33</v>
      </c>
      <c r="S57">
        <f t="shared" si="0"/>
        <v>1795</v>
      </c>
    </row>
    <row r="58" spans="2:19" x14ac:dyDescent="0.2">
      <c r="B58" t="s">
        <v>45</v>
      </c>
      <c r="E58">
        <v>4</v>
      </c>
      <c r="F58">
        <v>91</v>
      </c>
      <c r="G58">
        <v>53</v>
      </c>
      <c r="I58">
        <v>17.5</v>
      </c>
      <c r="J58">
        <v>75</v>
      </c>
      <c r="K58" t="s">
        <v>19</v>
      </c>
      <c r="O58">
        <v>224</v>
      </c>
      <c r="P58" t="s">
        <v>42</v>
      </c>
      <c r="Q58">
        <v>2045</v>
      </c>
      <c r="R58">
        <v>31.5</v>
      </c>
      <c r="S58">
        <f t="shared" si="0"/>
        <v>2045</v>
      </c>
    </row>
    <row r="59" spans="2:19" x14ac:dyDescent="0.2">
      <c r="B59" t="s">
        <v>41</v>
      </c>
      <c r="E59">
        <v>4</v>
      </c>
      <c r="F59">
        <v>91</v>
      </c>
      <c r="G59">
        <v>53</v>
      </c>
      <c r="I59">
        <v>17.399999999999999</v>
      </c>
      <c r="J59">
        <v>76</v>
      </c>
      <c r="K59" t="s">
        <v>19</v>
      </c>
      <c r="O59">
        <v>256</v>
      </c>
      <c r="P59" t="s">
        <v>42</v>
      </c>
      <c r="Q59">
        <v>1800</v>
      </c>
      <c r="R59">
        <v>36.1</v>
      </c>
      <c r="S59">
        <f t="shared" si="0"/>
        <v>1800</v>
      </c>
    </row>
    <row r="60" spans="2:19" x14ac:dyDescent="0.2">
      <c r="B60" t="s">
        <v>50</v>
      </c>
      <c r="E60">
        <v>4</v>
      </c>
      <c r="F60">
        <v>98</v>
      </c>
      <c r="G60">
        <v>68</v>
      </c>
      <c r="I60">
        <v>18.5</v>
      </c>
      <c r="J60">
        <v>77</v>
      </c>
      <c r="K60" t="s">
        <v>19</v>
      </c>
      <c r="O60">
        <v>287</v>
      </c>
      <c r="P60" t="s">
        <v>42</v>
      </c>
      <c r="Q60">
        <v>2135</v>
      </c>
      <c r="R60">
        <v>29.5</v>
      </c>
      <c r="S60">
        <f t="shared" si="0"/>
        <v>2135</v>
      </c>
    </row>
    <row r="61" spans="2:19" x14ac:dyDescent="0.2">
      <c r="B61" t="s">
        <v>45</v>
      </c>
      <c r="E61">
        <v>4</v>
      </c>
      <c r="F61">
        <v>91</v>
      </c>
      <c r="G61">
        <v>60</v>
      </c>
      <c r="I61">
        <v>16.399999999999999</v>
      </c>
      <c r="J61">
        <v>78</v>
      </c>
      <c r="K61" t="s">
        <v>19</v>
      </c>
      <c r="O61">
        <v>337</v>
      </c>
      <c r="P61" t="s">
        <v>42</v>
      </c>
      <c r="Q61">
        <v>1850</v>
      </c>
      <c r="R61">
        <v>44.6</v>
      </c>
      <c r="S61">
        <f t="shared" si="0"/>
        <v>1850</v>
      </c>
    </row>
    <row r="62" spans="2:19" x14ac:dyDescent="0.2">
      <c r="B62" t="s">
        <v>61</v>
      </c>
      <c r="E62">
        <v>4</v>
      </c>
      <c r="F62">
        <v>98</v>
      </c>
      <c r="G62">
        <v>68</v>
      </c>
      <c r="I62">
        <v>16.600000000000001</v>
      </c>
      <c r="J62">
        <v>78</v>
      </c>
      <c r="K62" t="s">
        <v>19</v>
      </c>
      <c r="O62">
        <v>345</v>
      </c>
      <c r="P62" t="s">
        <v>42</v>
      </c>
      <c r="Q62">
        <v>2290</v>
      </c>
      <c r="R62">
        <v>32.4</v>
      </c>
      <c r="S62">
        <f t="shared" si="0"/>
        <v>2290</v>
      </c>
    </row>
    <row r="63" spans="2:19" x14ac:dyDescent="0.2">
      <c r="B63" t="s">
        <v>69</v>
      </c>
      <c r="E63">
        <v>4</v>
      </c>
      <c r="F63">
        <v>91</v>
      </c>
      <c r="G63">
        <v>67</v>
      </c>
      <c r="I63">
        <v>13.8</v>
      </c>
      <c r="J63">
        <v>80</v>
      </c>
      <c r="K63" t="s">
        <v>19</v>
      </c>
      <c r="O63">
        <v>353</v>
      </c>
      <c r="P63" t="s">
        <v>42</v>
      </c>
      <c r="Q63">
        <v>1760</v>
      </c>
      <c r="R63">
        <v>35.1</v>
      </c>
      <c r="S63">
        <f t="shared" si="0"/>
        <v>1760</v>
      </c>
    </row>
    <row r="64" spans="2:19" x14ac:dyDescent="0.2">
      <c r="B64" t="s">
        <v>71</v>
      </c>
      <c r="E64">
        <v>4</v>
      </c>
      <c r="F64">
        <v>107</v>
      </c>
      <c r="G64">
        <v>72</v>
      </c>
      <c r="I64">
        <v>17</v>
      </c>
      <c r="J64">
        <v>80</v>
      </c>
      <c r="K64" t="s">
        <v>19</v>
      </c>
      <c r="O64">
        <v>363</v>
      </c>
      <c r="P64" t="s">
        <v>42</v>
      </c>
      <c r="Q64">
        <v>2210</v>
      </c>
      <c r="R64">
        <v>33.700000000000003</v>
      </c>
      <c r="S64">
        <f t="shared" si="0"/>
        <v>2210</v>
      </c>
    </row>
    <row r="65" spans="2:19" x14ac:dyDescent="0.2">
      <c r="B65" t="s">
        <v>73</v>
      </c>
      <c r="E65">
        <v>4</v>
      </c>
      <c r="F65">
        <v>81</v>
      </c>
      <c r="G65">
        <v>60</v>
      </c>
      <c r="I65">
        <v>16.100000000000001</v>
      </c>
      <c r="J65">
        <v>81</v>
      </c>
      <c r="K65" t="s">
        <v>19</v>
      </c>
      <c r="O65">
        <v>390</v>
      </c>
      <c r="P65" t="s">
        <v>42</v>
      </c>
      <c r="Q65">
        <v>2205</v>
      </c>
      <c r="R65">
        <v>36</v>
      </c>
      <c r="S65">
        <f t="shared" si="0"/>
        <v>2205</v>
      </c>
    </row>
    <row r="66" spans="2:19" x14ac:dyDescent="0.2">
      <c r="B66" t="s">
        <v>77</v>
      </c>
      <c r="E66">
        <v>4</v>
      </c>
      <c r="F66">
        <v>107</v>
      </c>
      <c r="G66">
        <v>75</v>
      </c>
      <c r="I66">
        <v>14.4</v>
      </c>
      <c r="J66">
        <v>81</v>
      </c>
      <c r="K66" t="s">
        <v>19</v>
      </c>
      <c r="O66">
        <v>392</v>
      </c>
      <c r="P66" t="s">
        <v>42</v>
      </c>
      <c r="Q66">
        <v>1965</v>
      </c>
      <c r="R66">
        <v>38</v>
      </c>
      <c r="S66">
        <f t="shared" si="0"/>
        <v>1965</v>
      </c>
    </row>
    <row r="67" spans="2:19" x14ac:dyDescent="0.2">
      <c r="B67" t="s">
        <v>71</v>
      </c>
      <c r="E67">
        <v>4</v>
      </c>
      <c r="F67">
        <v>107</v>
      </c>
      <c r="G67">
        <v>75</v>
      </c>
      <c r="I67">
        <v>14.5</v>
      </c>
      <c r="J67">
        <v>82</v>
      </c>
      <c r="K67" t="s">
        <v>19</v>
      </c>
      <c r="O67">
        <v>393</v>
      </c>
      <c r="P67" t="s">
        <v>42</v>
      </c>
      <c r="Q67">
        <v>1965</v>
      </c>
      <c r="R67">
        <v>32</v>
      </c>
      <c r="S67">
        <f t="shared" ref="S67:S96" si="1">Q67:Q161</f>
        <v>1965</v>
      </c>
    </row>
    <row r="68" spans="2:19" x14ac:dyDescent="0.2">
      <c r="B68" t="s">
        <v>41</v>
      </c>
      <c r="E68">
        <v>4</v>
      </c>
      <c r="F68">
        <v>91</v>
      </c>
      <c r="G68">
        <v>67</v>
      </c>
      <c r="I68">
        <v>15</v>
      </c>
      <c r="J68">
        <v>82</v>
      </c>
      <c r="K68" t="s">
        <v>19</v>
      </c>
      <c r="O68">
        <v>219</v>
      </c>
      <c r="P68" t="s">
        <v>48</v>
      </c>
      <c r="Q68">
        <v>3820</v>
      </c>
      <c r="R68">
        <v>16.5</v>
      </c>
      <c r="S68">
        <f t="shared" si="1"/>
        <v>3820</v>
      </c>
    </row>
    <row r="69" spans="2:19" x14ac:dyDescent="0.2">
      <c r="B69" t="s">
        <v>81</v>
      </c>
      <c r="E69">
        <v>4</v>
      </c>
      <c r="F69">
        <v>91</v>
      </c>
      <c r="G69">
        <v>67</v>
      </c>
      <c r="I69">
        <v>15.7</v>
      </c>
      <c r="J69">
        <v>82</v>
      </c>
      <c r="K69" t="s">
        <v>19</v>
      </c>
      <c r="O69">
        <v>305</v>
      </c>
      <c r="P69" t="s">
        <v>48</v>
      </c>
      <c r="Q69">
        <v>3530</v>
      </c>
      <c r="R69">
        <v>25.4</v>
      </c>
      <c r="S69">
        <f t="shared" si="1"/>
        <v>3530</v>
      </c>
    </row>
    <row r="70" spans="2:19" x14ac:dyDescent="0.2">
      <c r="B70" t="s">
        <v>47</v>
      </c>
      <c r="E70">
        <v>6</v>
      </c>
      <c r="F70">
        <v>168</v>
      </c>
      <c r="G70">
        <v>120</v>
      </c>
      <c r="I70">
        <v>16.7</v>
      </c>
      <c r="J70">
        <v>76</v>
      </c>
      <c r="K70" t="s">
        <v>22</v>
      </c>
      <c r="O70">
        <v>336</v>
      </c>
      <c r="P70" t="s">
        <v>48</v>
      </c>
      <c r="Q70">
        <v>3250</v>
      </c>
      <c r="R70">
        <v>30</v>
      </c>
      <c r="S70">
        <f t="shared" si="1"/>
        <v>3250</v>
      </c>
    </row>
    <row r="71" spans="2:19" x14ac:dyDescent="0.2">
      <c r="B71" t="s">
        <v>64</v>
      </c>
      <c r="E71">
        <v>5</v>
      </c>
      <c r="F71">
        <v>183</v>
      </c>
      <c r="G71">
        <v>77</v>
      </c>
      <c r="I71">
        <v>20.100000000000001</v>
      </c>
      <c r="J71">
        <v>79</v>
      </c>
      <c r="K71" t="s">
        <v>22</v>
      </c>
      <c r="O71">
        <v>21</v>
      </c>
      <c r="P71" t="s">
        <v>18</v>
      </c>
      <c r="Q71">
        <v>2372</v>
      </c>
      <c r="R71">
        <v>24</v>
      </c>
      <c r="S71">
        <f t="shared" si="1"/>
        <v>2372</v>
      </c>
    </row>
    <row r="72" spans="2:19" x14ac:dyDescent="0.2">
      <c r="B72" t="s">
        <v>68</v>
      </c>
      <c r="E72">
        <v>4</v>
      </c>
      <c r="F72">
        <v>146</v>
      </c>
      <c r="G72">
        <v>67</v>
      </c>
      <c r="I72">
        <v>21.8</v>
      </c>
      <c r="J72">
        <v>80</v>
      </c>
      <c r="K72" t="s">
        <v>22</v>
      </c>
      <c r="O72">
        <v>38</v>
      </c>
      <c r="P72" t="s">
        <v>18</v>
      </c>
      <c r="Q72">
        <v>2228</v>
      </c>
      <c r="R72">
        <v>25</v>
      </c>
      <c r="S72">
        <f t="shared" si="1"/>
        <v>2228</v>
      </c>
    </row>
    <row r="73" spans="2:19" x14ac:dyDescent="0.2">
      <c r="B73" t="s">
        <v>17</v>
      </c>
      <c r="E73">
        <v>4</v>
      </c>
      <c r="F73">
        <v>113</v>
      </c>
      <c r="G73">
        <v>95</v>
      </c>
      <c r="I73">
        <v>15</v>
      </c>
      <c r="J73">
        <v>70</v>
      </c>
      <c r="K73" t="s">
        <v>19</v>
      </c>
      <c r="O73">
        <v>61</v>
      </c>
      <c r="P73" t="s">
        <v>18</v>
      </c>
      <c r="Q73">
        <v>1773</v>
      </c>
      <c r="R73">
        <v>31</v>
      </c>
      <c r="S73">
        <f t="shared" si="1"/>
        <v>1773</v>
      </c>
    </row>
    <row r="74" spans="2:19" x14ac:dyDescent="0.2">
      <c r="B74" t="s">
        <v>24</v>
      </c>
      <c r="E74">
        <v>4</v>
      </c>
      <c r="F74">
        <v>113</v>
      </c>
      <c r="G74">
        <v>95</v>
      </c>
      <c r="I74">
        <v>14</v>
      </c>
      <c r="J74">
        <v>71</v>
      </c>
      <c r="K74" t="s">
        <v>19</v>
      </c>
      <c r="O74">
        <v>65</v>
      </c>
      <c r="P74" t="s">
        <v>18</v>
      </c>
      <c r="Q74">
        <v>2278</v>
      </c>
      <c r="R74">
        <v>24</v>
      </c>
      <c r="S74">
        <f t="shared" si="1"/>
        <v>2278</v>
      </c>
    </row>
    <row r="75" spans="2:19" x14ac:dyDescent="0.2">
      <c r="B75" t="s">
        <v>29</v>
      </c>
      <c r="E75">
        <v>4</v>
      </c>
      <c r="F75">
        <v>71</v>
      </c>
      <c r="G75">
        <v>65</v>
      </c>
      <c r="I75">
        <v>19</v>
      </c>
      <c r="J75">
        <v>71</v>
      </c>
      <c r="K75" t="s">
        <v>19</v>
      </c>
      <c r="O75">
        <v>90</v>
      </c>
      <c r="P75" t="s">
        <v>18</v>
      </c>
      <c r="Q75">
        <v>2506</v>
      </c>
      <c r="R75">
        <v>23</v>
      </c>
      <c r="S75">
        <f t="shared" si="1"/>
        <v>2506</v>
      </c>
    </row>
    <row r="76" spans="2:19" x14ac:dyDescent="0.2">
      <c r="B76" t="s">
        <v>30</v>
      </c>
      <c r="E76">
        <v>4</v>
      </c>
      <c r="F76">
        <v>113</v>
      </c>
      <c r="G76">
        <v>95</v>
      </c>
      <c r="I76">
        <v>15.5</v>
      </c>
      <c r="J76">
        <v>72</v>
      </c>
      <c r="K76" t="s">
        <v>19</v>
      </c>
      <c r="O76">
        <v>92</v>
      </c>
      <c r="P76" t="s">
        <v>18</v>
      </c>
      <c r="Q76">
        <v>2100</v>
      </c>
      <c r="R76">
        <v>27</v>
      </c>
      <c r="S76">
        <f t="shared" si="1"/>
        <v>2100</v>
      </c>
    </row>
    <row r="77" spans="2:19" x14ac:dyDescent="0.2">
      <c r="B77" t="s">
        <v>34</v>
      </c>
      <c r="E77">
        <v>4</v>
      </c>
      <c r="F77">
        <v>120</v>
      </c>
      <c r="G77">
        <v>97</v>
      </c>
      <c r="I77">
        <v>14.5</v>
      </c>
      <c r="J77">
        <v>72</v>
      </c>
      <c r="K77" t="s">
        <v>19</v>
      </c>
      <c r="O77">
        <v>116</v>
      </c>
      <c r="P77" t="s">
        <v>18</v>
      </c>
      <c r="Q77">
        <v>2279</v>
      </c>
      <c r="R77">
        <v>20</v>
      </c>
      <c r="S77">
        <f t="shared" si="1"/>
        <v>2279</v>
      </c>
    </row>
    <row r="78" spans="2:19" x14ac:dyDescent="0.2">
      <c r="B78" t="s">
        <v>35</v>
      </c>
      <c r="E78">
        <v>4</v>
      </c>
      <c r="F78">
        <v>97</v>
      </c>
      <c r="G78">
        <v>88</v>
      </c>
      <c r="I78">
        <v>16.5</v>
      </c>
      <c r="J78">
        <v>72</v>
      </c>
      <c r="K78" t="s">
        <v>19</v>
      </c>
      <c r="O78">
        <v>131</v>
      </c>
      <c r="P78" t="s">
        <v>18</v>
      </c>
      <c r="Q78">
        <v>2807</v>
      </c>
      <c r="R78">
        <v>20</v>
      </c>
      <c r="S78">
        <f t="shared" si="1"/>
        <v>2807</v>
      </c>
    </row>
    <row r="79" spans="2:19" x14ac:dyDescent="0.2">
      <c r="B79" t="s">
        <v>39</v>
      </c>
      <c r="E79">
        <v>4</v>
      </c>
      <c r="F79">
        <v>97</v>
      </c>
      <c r="G79">
        <v>88</v>
      </c>
      <c r="I79">
        <v>19</v>
      </c>
      <c r="J79">
        <v>73</v>
      </c>
      <c r="K79" t="s">
        <v>19</v>
      </c>
      <c r="O79">
        <v>139</v>
      </c>
      <c r="P79" t="s">
        <v>18</v>
      </c>
      <c r="Q79">
        <v>1836</v>
      </c>
      <c r="R79">
        <v>32</v>
      </c>
      <c r="S79">
        <f t="shared" si="1"/>
        <v>1836</v>
      </c>
    </row>
    <row r="80" spans="2:19" x14ac:dyDescent="0.2">
      <c r="B80" t="s">
        <v>40</v>
      </c>
      <c r="E80">
        <v>6</v>
      </c>
      <c r="F80">
        <v>156</v>
      </c>
      <c r="G80">
        <v>122</v>
      </c>
      <c r="I80">
        <v>13.5</v>
      </c>
      <c r="J80">
        <v>73</v>
      </c>
      <c r="K80" t="s">
        <v>19</v>
      </c>
      <c r="O80">
        <v>152</v>
      </c>
      <c r="P80" t="s">
        <v>18</v>
      </c>
      <c r="Q80">
        <v>1649</v>
      </c>
      <c r="R80">
        <v>31</v>
      </c>
      <c r="S80">
        <f t="shared" si="1"/>
        <v>1649</v>
      </c>
    </row>
    <row r="81" spans="2:19" x14ac:dyDescent="0.2">
      <c r="B81" t="s">
        <v>29</v>
      </c>
      <c r="E81">
        <v>4</v>
      </c>
      <c r="F81">
        <v>71</v>
      </c>
      <c r="G81">
        <v>65</v>
      </c>
      <c r="I81">
        <v>21</v>
      </c>
      <c r="J81">
        <v>74</v>
      </c>
      <c r="K81" t="s">
        <v>19</v>
      </c>
      <c r="O81">
        <v>175</v>
      </c>
      <c r="P81" t="s">
        <v>18</v>
      </c>
      <c r="Q81">
        <v>2171</v>
      </c>
      <c r="R81">
        <v>29</v>
      </c>
      <c r="S81">
        <f t="shared" si="1"/>
        <v>2171</v>
      </c>
    </row>
    <row r="82" spans="2:19" x14ac:dyDescent="0.2">
      <c r="B82" t="s">
        <v>24</v>
      </c>
      <c r="E82">
        <v>4</v>
      </c>
      <c r="F82">
        <v>76</v>
      </c>
      <c r="G82">
        <v>52</v>
      </c>
      <c r="I82">
        <v>16.5</v>
      </c>
      <c r="J82">
        <v>74</v>
      </c>
      <c r="K82" t="s">
        <v>19</v>
      </c>
      <c r="O82">
        <v>179</v>
      </c>
      <c r="P82" t="s">
        <v>18</v>
      </c>
      <c r="Q82">
        <v>2702</v>
      </c>
      <c r="R82">
        <v>24</v>
      </c>
      <c r="S82">
        <f t="shared" si="1"/>
        <v>2702</v>
      </c>
    </row>
    <row r="83" spans="2:19" x14ac:dyDescent="0.2">
      <c r="B83" t="s">
        <v>44</v>
      </c>
      <c r="E83">
        <v>4</v>
      </c>
      <c r="F83">
        <v>97</v>
      </c>
      <c r="G83">
        <v>75</v>
      </c>
      <c r="I83">
        <v>16</v>
      </c>
      <c r="J83">
        <v>75</v>
      </c>
      <c r="K83" t="s">
        <v>19</v>
      </c>
      <c r="O83">
        <v>213</v>
      </c>
      <c r="P83" t="s">
        <v>18</v>
      </c>
      <c r="Q83">
        <v>2155</v>
      </c>
      <c r="R83">
        <v>28</v>
      </c>
      <c r="S83">
        <f t="shared" si="1"/>
        <v>2155</v>
      </c>
    </row>
    <row r="84" spans="2:19" x14ac:dyDescent="0.2">
      <c r="B84" t="s">
        <v>24</v>
      </c>
      <c r="E84">
        <v>4</v>
      </c>
      <c r="F84">
        <v>134</v>
      </c>
      <c r="G84">
        <v>96</v>
      </c>
      <c r="I84">
        <v>13.5</v>
      </c>
      <c r="J84">
        <v>75</v>
      </c>
      <c r="K84" t="s">
        <v>19</v>
      </c>
      <c r="O84">
        <v>218</v>
      </c>
      <c r="P84" t="s">
        <v>18</v>
      </c>
      <c r="Q84">
        <v>2930</v>
      </c>
      <c r="R84">
        <v>19</v>
      </c>
      <c r="S84">
        <f t="shared" si="1"/>
        <v>2930</v>
      </c>
    </row>
    <row r="85" spans="2:19" x14ac:dyDescent="0.2">
      <c r="B85" t="s">
        <v>44</v>
      </c>
      <c r="E85">
        <v>4</v>
      </c>
      <c r="F85">
        <v>97</v>
      </c>
      <c r="G85">
        <v>75</v>
      </c>
      <c r="I85">
        <v>16.399999999999999</v>
      </c>
      <c r="J85">
        <v>76</v>
      </c>
      <c r="K85" t="s">
        <v>19</v>
      </c>
      <c r="O85">
        <v>243</v>
      </c>
      <c r="P85" t="s">
        <v>18</v>
      </c>
      <c r="Q85">
        <v>2265</v>
      </c>
      <c r="R85">
        <v>26</v>
      </c>
      <c r="S85">
        <f t="shared" si="1"/>
        <v>2265</v>
      </c>
    </row>
    <row r="86" spans="2:19" x14ac:dyDescent="0.2">
      <c r="B86" t="s">
        <v>40</v>
      </c>
      <c r="E86">
        <v>6</v>
      </c>
      <c r="F86">
        <v>156</v>
      </c>
      <c r="G86">
        <v>108</v>
      </c>
      <c r="I86">
        <v>15.5</v>
      </c>
      <c r="J86">
        <v>76</v>
      </c>
      <c r="K86" t="s">
        <v>19</v>
      </c>
      <c r="O86">
        <v>275</v>
      </c>
      <c r="P86" t="s">
        <v>18</v>
      </c>
      <c r="Q86">
        <v>2560</v>
      </c>
      <c r="R86">
        <v>27.5</v>
      </c>
      <c r="S86">
        <f t="shared" si="1"/>
        <v>2560</v>
      </c>
    </row>
    <row r="87" spans="2:19" x14ac:dyDescent="0.2">
      <c r="B87" t="s">
        <v>53</v>
      </c>
      <c r="E87">
        <v>4</v>
      </c>
      <c r="F87">
        <v>97</v>
      </c>
      <c r="G87">
        <v>75</v>
      </c>
      <c r="I87">
        <v>18.2</v>
      </c>
      <c r="J87">
        <v>77</v>
      </c>
      <c r="K87" t="s">
        <v>19</v>
      </c>
      <c r="O87">
        <v>278</v>
      </c>
      <c r="P87" t="s">
        <v>18</v>
      </c>
      <c r="Q87">
        <v>2515</v>
      </c>
      <c r="R87">
        <v>21.1</v>
      </c>
      <c r="S87">
        <f t="shared" si="1"/>
        <v>2515</v>
      </c>
    </row>
    <row r="88" spans="2:19" x14ac:dyDescent="0.2">
      <c r="B88" t="s">
        <v>24</v>
      </c>
      <c r="E88">
        <v>4</v>
      </c>
      <c r="F88">
        <v>134</v>
      </c>
      <c r="G88">
        <v>95</v>
      </c>
      <c r="I88">
        <v>14.2</v>
      </c>
      <c r="J88">
        <v>78</v>
      </c>
      <c r="K88" t="s">
        <v>19</v>
      </c>
      <c r="O88">
        <v>318</v>
      </c>
      <c r="P88" t="s">
        <v>18</v>
      </c>
      <c r="Q88">
        <v>1968</v>
      </c>
      <c r="R88">
        <v>38.1</v>
      </c>
      <c r="S88">
        <f t="shared" si="1"/>
        <v>1968</v>
      </c>
    </row>
    <row r="89" spans="2:19" x14ac:dyDescent="0.2">
      <c r="B89" t="s">
        <v>60</v>
      </c>
      <c r="E89">
        <v>4</v>
      </c>
      <c r="F89">
        <v>134</v>
      </c>
      <c r="G89">
        <v>95</v>
      </c>
      <c r="I89">
        <v>14.8</v>
      </c>
      <c r="J89">
        <v>78</v>
      </c>
      <c r="K89" t="s">
        <v>19</v>
      </c>
      <c r="O89">
        <v>326</v>
      </c>
      <c r="P89" t="s">
        <v>18</v>
      </c>
      <c r="Q89">
        <v>2711</v>
      </c>
      <c r="R89">
        <v>29.8</v>
      </c>
      <c r="S89">
        <f t="shared" si="1"/>
        <v>2711</v>
      </c>
    </row>
    <row r="90" spans="2:19" x14ac:dyDescent="0.2">
      <c r="B90" t="s">
        <v>65</v>
      </c>
      <c r="E90">
        <v>4</v>
      </c>
      <c r="F90">
        <v>89</v>
      </c>
      <c r="G90">
        <v>60</v>
      </c>
      <c r="I90">
        <v>18.8</v>
      </c>
      <c r="J90">
        <v>80</v>
      </c>
      <c r="K90" t="s">
        <v>19</v>
      </c>
      <c r="O90">
        <v>329</v>
      </c>
      <c r="P90" t="s">
        <v>18</v>
      </c>
      <c r="Q90">
        <v>2265</v>
      </c>
      <c r="R90">
        <v>32.200000000000003</v>
      </c>
      <c r="S90">
        <f t="shared" si="1"/>
        <v>2265</v>
      </c>
    </row>
    <row r="91" spans="2:19" x14ac:dyDescent="0.2">
      <c r="B91" t="s">
        <v>67</v>
      </c>
      <c r="E91">
        <v>4</v>
      </c>
      <c r="F91">
        <v>134</v>
      </c>
      <c r="G91">
        <v>90</v>
      </c>
      <c r="I91">
        <v>15.5</v>
      </c>
      <c r="J91">
        <v>80</v>
      </c>
      <c r="K91" t="s">
        <v>19</v>
      </c>
      <c r="O91">
        <v>351</v>
      </c>
      <c r="P91" t="s">
        <v>18</v>
      </c>
      <c r="Q91">
        <v>1755</v>
      </c>
      <c r="R91">
        <v>39.1</v>
      </c>
      <c r="S91">
        <f t="shared" si="1"/>
        <v>1755</v>
      </c>
    </row>
    <row r="92" spans="2:19" x14ac:dyDescent="0.2">
      <c r="B92" t="s">
        <v>44</v>
      </c>
      <c r="E92">
        <v>4</v>
      </c>
      <c r="F92">
        <v>108</v>
      </c>
      <c r="G92">
        <v>75</v>
      </c>
      <c r="I92">
        <v>15.2</v>
      </c>
      <c r="J92">
        <v>80</v>
      </c>
      <c r="K92" t="s">
        <v>19</v>
      </c>
      <c r="O92">
        <v>356</v>
      </c>
      <c r="P92" t="s">
        <v>18</v>
      </c>
      <c r="Q92">
        <v>2050</v>
      </c>
      <c r="R92">
        <v>37.700000000000003</v>
      </c>
      <c r="S92">
        <f t="shared" si="1"/>
        <v>2050</v>
      </c>
    </row>
    <row r="93" spans="2:19" x14ac:dyDescent="0.2">
      <c r="B93" t="s">
        <v>72</v>
      </c>
      <c r="E93">
        <v>4</v>
      </c>
      <c r="F93">
        <v>79</v>
      </c>
      <c r="G93">
        <v>58</v>
      </c>
      <c r="I93">
        <v>16.899999999999999</v>
      </c>
      <c r="J93">
        <v>81</v>
      </c>
      <c r="K93" t="s">
        <v>19</v>
      </c>
      <c r="O93">
        <v>364</v>
      </c>
      <c r="P93" t="s">
        <v>18</v>
      </c>
      <c r="Q93">
        <v>2350</v>
      </c>
      <c r="R93">
        <v>32.4</v>
      </c>
      <c r="S93">
        <f t="shared" si="1"/>
        <v>2350</v>
      </c>
    </row>
    <row r="94" spans="2:19" x14ac:dyDescent="0.2">
      <c r="B94" t="s">
        <v>74</v>
      </c>
      <c r="E94">
        <v>4</v>
      </c>
      <c r="F94">
        <v>89</v>
      </c>
      <c r="G94">
        <v>62</v>
      </c>
      <c r="I94">
        <v>17.3</v>
      </c>
      <c r="J94">
        <v>81</v>
      </c>
      <c r="K94" t="s">
        <v>19</v>
      </c>
      <c r="O94">
        <v>370</v>
      </c>
      <c r="P94" t="s">
        <v>18</v>
      </c>
      <c r="Q94">
        <v>2900</v>
      </c>
      <c r="R94">
        <v>25.4</v>
      </c>
      <c r="S94">
        <f t="shared" si="1"/>
        <v>2900</v>
      </c>
    </row>
    <row r="95" spans="2:19" x14ac:dyDescent="0.2">
      <c r="B95" t="s">
        <v>44</v>
      </c>
      <c r="E95">
        <v>4</v>
      </c>
      <c r="F95">
        <v>108</v>
      </c>
      <c r="G95">
        <v>75</v>
      </c>
      <c r="I95">
        <v>16.8</v>
      </c>
      <c r="J95">
        <v>81</v>
      </c>
      <c r="K95" t="s">
        <v>19</v>
      </c>
      <c r="O95">
        <v>391</v>
      </c>
      <c r="P95" t="s">
        <v>18</v>
      </c>
      <c r="Q95">
        <v>2245</v>
      </c>
      <c r="R95">
        <v>34</v>
      </c>
      <c r="S95">
        <f t="shared" si="1"/>
        <v>2245</v>
      </c>
    </row>
    <row r="96" spans="2:19" x14ac:dyDescent="0.2">
      <c r="B96" t="s">
        <v>78</v>
      </c>
      <c r="E96">
        <v>6</v>
      </c>
      <c r="F96">
        <v>168</v>
      </c>
      <c r="G96">
        <v>116</v>
      </c>
      <c r="I96">
        <v>12.6</v>
      </c>
      <c r="J96">
        <v>81</v>
      </c>
      <c r="K96" t="s">
        <v>19</v>
      </c>
      <c r="O96">
        <v>399</v>
      </c>
      <c r="P96" t="s">
        <v>18</v>
      </c>
      <c r="Q96">
        <v>2665</v>
      </c>
      <c r="R96">
        <v>32</v>
      </c>
      <c r="S96">
        <f t="shared" si="1"/>
        <v>2665</v>
      </c>
    </row>
    <row r="97" spans="2:11" x14ac:dyDescent="0.2">
      <c r="B97" t="s">
        <v>44</v>
      </c>
      <c r="E97">
        <v>4</v>
      </c>
      <c r="F97">
        <v>108</v>
      </c>
      <c r="G97">
        <v>70</v>
      </c>
      <c r="I97">
        <v>16.899999999999999</v>
      </c>
      <c r="J97">
        <v>82</v>
      </c>
      <c r="K97" t="s">
        <v>19</v>
      </c>
    </row>
    <row r="98" spans="2:11" x14ac:dyDescent="0.2">
      <c r="B98" t="s">
        <v>83</v>
      </c>
      <c r="E98">
        <v>4</v>
      </c>
      <c r="F98">
        <v>144</v>
      </c>
      <c r="G98">
        <v>96</v>
      </c>
      <c r="I98">
        <v>13.9</v>
      </c>
      <c r="J98">
        <v>82</v>
      </c>
      <c r="K98" t="s">
        <v>19</v>
      </c>
    </row>
  </sheetData>
  <sortState xmlns:xlrd2="http://schemas.microsoft.com/office/spreadsheetml/2017/richdata2" ref="A2:K98">
    <sortCondition ref="C2:C98"/>
  </sortState>
  <pageMargins left="0.75" right="0.75" top="1" bottom="1" header="0.5" footer="0.5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cars-sample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Alan Curiel</cp:lastModifiedBy>
  <dcterms:created xsi:type="dcterms:W3CDTF">2021-02-06T17:08:16Z</dcterms:created>
  <dcterms:modified xsi:type="dcterms:W3CDTF">2021-02-06T20:55:33Z</dcterms:modified>
</cp:coreProperties>
</file>